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calculated" sheetId="1" state="visible" r:id="rId1"/>
    <sheet name="WT source" sheetId="2" state="visible" r:id="rId2"/>
    <sheet name="upf3 source" sheetId="3" state="visible" r:id="rId3"/>
    <sheet name="Comparison" sheetId="4" state="visible" r:id="rId4"/>
  </sheets>
  <definedNames>
    <definedName name="_xlnm._FilterDatabase" localSheetId="0" hidden="1">'How calculated'!$A$1:$B$13</definedName>
    <definedName name="_xlnm._FilterDatabase" localSheetId="1" hidden="1">'WT source'!$A$1:$I$11</definedName>
    <definedName name="_xlnm._FilterDatabase" localSheetId="2" hidden="1">'upf3 source'!$A$1:$I$11</definedName>
    <definedName name="_xlnm._FilterDatabase" localSheetId="3" hidden="1">'Comparison'!$A$1:$K$12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42" customHeight="1">
      <c r="A1" s="1" t="inlineStr">
        <is>
          <t>Calculation</t>
        </is>
      </c>
      <c r="B1" s="1" t="inlineStr">
        <is>
          <t>Explanation</t>
        </is>
      </c>
    </row>
    <row r="2" ht="45" customHeight="1">
      <c r="A2" s="2" t="inlineStr">
        <is>
          <t>WT identity</t>
        </is>
      </c>
      <c r="B2" s="2" t="inlineStr">
        <is>
          <t>Sample_1, identified by the user as WT.</t>
        </is>
      </c>
    </row>
    <row r="3" ht="45" customHeight="1">
      <c r="A3" s="2" t="inlineStr">
        <is>
          <t>upf3Δ identity</t>
        </is>
      </c>
      <c r="B3" s="2" t="inlineStr">
        <is>
          <t>Sample_3, identified by the user as upf3Δ.</t>
        </is>
      </c>
    </row>
    <row r="4" ht="45" customHeight="1">
      <c r="A4" s="2" t="inlineStr">
        <is>
          <t>Denominator</t>
        </is>
      </c>
      <c r="B4" s="2" t="inlineStr">
        <is>
          <t>Sum of supporting_reads across ALL groups in each supplied retained-start summary, including no-intact-start and uncertain groups.</t>
        </is>
      </c>
    </row>
    <row r="5" ht="45" customHeight="1">
      <c r="A5" s="2" t="inlineStr">
        <is>
          <t>Group percentage</t>
        </is>
      </c>
      <c r="B5" s="2" t="inlineStr">
        <is>
          <t>Group supporting_reads / total imported supporting_reads for that sample. Excel stores this as a fraction and displays it as a percentage.</t>
        </is>
      </c>
    </row>
    <row r="6" ht="45" customHeight="1">
      <c r="A6" s="2" t="inlineStr">
        <is>
          <t>Fold enrichment</t>
        </is>
      </c>
      <c r="B6" s="2" t="inlineStr">
        <is>
          <t>upf3Δ group percentage / WT group percentage, using unrounded values. Above 1 means higher representation in upf3Δ; below 1 means lower representation.</t>
        </is>
      </c>
    </row>
    <row r="7" ht="45" customHeight="1">
      <c r="A7" s="2" t="inlineStr">
        <is>
          <t>Percentage-point difference</t>
        </is>
      </c>
      <c r="B7" s="2" t="inlineStr">
        <is>
          <t>100 × (upf3Δ fraction − WT fraction). This is different from fold enrichment.</t>
        </is>
      </c>
    </row>
    <row r="8" ht="45" customHeight="1">
      <c r="A8" s="2" t="inlineStr">
        <is>
          <t>Combined uORF groups</t>
        </is>
      </c>
      <c r="B8" s="2" t="inlineStr">
        <is>
          <t>Sum uORF1–5 supporting reads once each, then divide by the same all-group total. Groups represent the first supported intact annotated ATG, not individual uORF counts.</t>
        </is>
      </c>
    </row>
    <row r="9" ht="45" customHeight="1">
      <c r="A9" s="2" t="inlineStr">
        <is>
          <t>Other CSV percentages</t>
        </is>
      </c>
      <c r="B9" s="2" t="inlineStr">
        <is>
          <t>percent_quality_filtered_from_input and percent_assigned_from_input retain denominators from the original read analysis. They are preserved on source sheets but are not used for the fold comparison.</t>
        </is>
      </c>
    </row>
    <row r="10" ht="45" customHeight="1">
      <c r="A10" s="2" t="inlineStr">
        <is>
          <t>Source percentage units</t>
        </is>
      </c>
      <c r="B10" s="2" t="inlineStr">
        <is>
          <t>Original CSV percentage columns use values from 0 to 100; calculated comparison percentage cells use Excel fractions from 0 to 1.</t>
        </is>
      </c>
    </row>
    <row r="11" ht="45" customHeight="1">
      <c r="A11" s="2" t="inlineStr">
        <is>
          <t>Interpretation</t>
        </is>
      </c>
      <c r="B11" s="2" t="inlineStr">
        <is>
          <t>Fold enrichment describes PCR-derived sequencing-read composition, not absolute RNA abundance, translation, confirmed transcription starts, or proven NMD sensitivity.</t>
        </is>
      </c>
    </row>
    <row r="12" ht="45" customHeight="1">
      <c r="A12" s="2" t="inlineStr">
        <is>
          <t>Limitations</t>
        </is>
      </c>
      <c r="B12" s="2" t="inlineStr">
        <is>
          <t>One supplied summary per genotype; no biological replicate analysis or statistical inference. Equivalent filtering and complete comparable source reports must be verified separately.</t>
        </is>
      </c>
    </row>
    <row r="13" ht="45" customHeight="1">
      <c r="A13" s="2" t="inlineStr">
        <is>
          <t>Rounding</t>
        </is>
      </c>
      <c r="B13" s="2" t="inlineStr">
        <is>
          <t>Percentages shown to two decimals and folds to two decimals; formulas use full precision.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7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sample</t>
        </is>
      </c>
      <c r="B1" s="1" t="inlineStr">
        <is>
          <t>retained_start_group</t>
        </is>
      </c>
      <c r="C1" s="1" t="inlineStr">
        <is>
          <t>amplicon_clusters</t>
        </is>
      </c>
      <c r="D1" s="1" t="inlineStr">
        <is>
          <t>supporting_reads</t>
        </is>
      </c>
      <c r="E1" s="1" t="inlineStr">
        <is>
          <t>percent_of_imported_supporting_reads</t>
        </is>
      </c>
      <c r="F1" s="1" t="inlineStr">
        <is>
          <t>percent_quality_filtered_from_input</t>
        </is>
      </c>
      <c r="G1" s="1" t="inlineStr">
        <is>
          <t>percent_assigned_from_input</t>
        </is>
      </c>
      <c r="H1" s="1" t="inlineStr">
        <is>
          <t>clusters_with_unaligned_5prime_extension</t>
        </is>
      </c>
      <c r="I1" s="1" t="inlineStr">
        <is>
          <t>imported_clusters_in_sample</t>
        </is>
      </c>
    </row>
    <row r="2">
      <c r="A2" s="2" t="inlineStr">
        <is>
          <t>Sample_1</t>
        </is>
      </c>
      <c r="B2" s="2" t="inlineStr">
        <is>
          <t>uORF1 ATG retained</t>
        </is>
      </c>
      <c r="C2" s="2" t="n">
        <v>11848</v>
      </c>
      <c r="D2" s="2" t="n">
        <v>210365</v>
      </c>
      <c r="E2" s="2" t="n">
        <v>20.10199830289502</v>
      </c>
      <c r="F2" s="2" t="n">
        <v>10.905390012</v>
      </c>
      <c r="G2" s="2" t="n">
        <v>20.102336334</v>
      </c>
      <c r="H2" s="2" t="n">
        <v>11848</v>
      </c>
      <c r="I2" s="2" t="n">
        <v>93877</v>
      </c>
    </row>
    <row r="3">
      <c r="A3" s="2" t="inlineStr">
        <is>
          <t>Sample_1</t>
        </is>
      </c>
      <c r="B3" s="2" t="inlineStr">
        <is>
          <t>uORF2 ATG retained</t>
        </is>
      </c>
      <c r="C3" s="2" t="n">
        <v>3499</v>
      </c>
      <c r="D3" s="2" t="n">
        <v>64049</v>
      </c>
      <c r="E3" s="2" t="n">
        <v>6.12037596226617</v>
      </c>
      <c r="F3" s="2" t="n">
        <v>3.320318439</v>
      </c>
      <c r="G3" s="2" t="n">
        <v>6.120481430000001</v>
      </c>
      <c r="H3" s="2" t="n">
        <v>3320</v>
      </c>
      <c r="I3" s="2" t="n">
        <v>93877</v>
      </c>
    </row>
    <row r="4">
      <c r="A4" s="2" t="inlineStr">
        <is>
          <t>Sample_1</t>
        </is>
      </c>
      <c r="B4" s="2" t="inlineStr">
        <is>
          <t>uORF3 ATG retained</t>
        </is>
      </c>
      <c r="C4" s="2" t="n">
        <v>629</v>
      </c>
      <c r="D4" s="2" t="n">
        <v>4540</v>
      </c>
      <c r="E4" s="2" t="n">
        <v>0.4338320171850991</v>
      </c>
      <c r="F4" s="2" t="n">
        <v>0.235339932</v>
      </c>
      <c r="G4" s="2" t="n">
        <v>0.433854588</v>
      </c>
      <c r="H4" s="2" t="n">
        <v>573</v>
      </c>
      <c r="I4" s="2" t="n">
        <v>93877</v>
      </c>
    </row>
    <row r="5">
      <c r="A5" s="2" t="inlineStr">
        <is>
          <t>Sample_1</t>
        </is>
      </c>
      <c r="B5" s="2" t="inlineStr">
        <is>
          <t>uORF4 ATG retained</t>
        </is>
      </c>
      <c r="C5" s="2" t="n">
        <v>135</v>
      </c>
      <c r="D5" s="2" t="n">
        <v>800</v>
      </c>
      <c r="E5" s="2" t="n">
        <v>0.07644617042909235</v>
      </c>
      <c r="F5" s="2" t="n">
        <v>0.041469179</v>
      </c>
      <c r="G5" s="2" t="n">
        <v>0.07645056500000001</v>
      </c>
      <c r="H5" s="2" t="n">
        <v>128</v>
      </c>
      <c r="I5" s="2" t="n">
        <v>93877</v>
      </c>
    </row>
    <row r="6">
      <c r="A6" s="2" t="inlineStr">
        <is>
          <t>Sample_1</t>
        </is>
      </c>
      <c r="B6" s="2" t="inlineStr">
        <is>
          <t>uORF5 ATG retained</t>
        </is>
      </c>
      <c r="C6" s="2" t="n">
        <v>414</v>
      </c>
      <c r="D6" s="2" t="n">
        <v>2498</v>
      </c>
      <c r="E6" s="2" t="n">
        <v>0.2387031671648409</v>
      </c>
      <c r="F6" s="2" t="n">
        <v>0.129487204</v>
      </c>
      <c r="G6" s="2" t="n">
        <v>0.238717194</v>
      </c>
      <c r="H6" s="2" t="n">
        <v>214</v>
      </c>
      <c r="I6" s="2" t="n">
        <v>93877</v>
      </c>
    </row>
    <row r="7">
      <c r="A7" s="2" t="inlineStr">
        <is>
          <t>Sample_1</t>
        </is>
      </c>
      <c r="B7" s="2" t="inlineStr">
        <is>
          <t>Main DAL2 ATG retained</t>
        </is>
      </c>
      <c r="C7" s="2" t="n">
        <v>10508</v>
      </c>
      <c r="D7" s="2" t="n">
        <v>141776</v>
      </c>
      <c r="E7" s="2" t="n">
        <v>13.54779032344375</v>
      </c>
      <c r="F7" s="2" t="n">
        <v>7.349641679999999</v>
      </c>
      <c r="G7" s="2" t="n">
        <v>13.548091128</v>
      </c>
      <c r="H7" s="2" t="n">
        <v>9625</v>
      </c>
      <c r="I7" s="2" t="n">
        <v>93877</v>
      </c>
    </row>
    <row r="8">
      <c r="A8" s="2" t="inlineStr">
        <is>
          <t>Sample_1</t>
        </is>
      </c>
      <c r="B8" s="2" t="inlineStr">
        <is>
          <t>Internal ATG A retained</t>
        </is>
      </c>
      <c r="C8" s="2" t="n">
        <v>2443</v>
      </c>
      <c r="D8" s="2" t="n">
        <v>16830</v>
      </c>
      <c r="E8" s="2" t="n">
        <v>1.60823631040203</v>
      </c>
      <c r="F8" s="2" t="n">
        <v>0.8724216300000001</v>
      </c>
      <c r="G8" s="2" t="n">
        <v>1.608314851</v>
      </c>
      <c r="H8" s="2" t="n">
        <v>2123</v>
      </c>
      <c r="I8" s="2" t="n">
        <v>93877</v>
      </c>
    </row>
    <row r="9">
      <c r="A9" s="2" t="inlineStr">
        <is>
          <t>Sample_1</t>
        </is>
      </c>
      <c r="B9" s="2" t="inlineStr">
        <is>
          <t>Internal ATG B retained</t>
        </is>
      </c>
      <c r="C9" s="2" t="n">
        <v>18059</v>
      </c>
      <c r="D9" s="2" t="n">
        <v>258794</v>
      </c>
      <c r="E9" s="2" t="n">
        <v>24.72976278753316</v>
      </c>
      <c r="F9" s="2" t="n">
        <v>13.415902976</v>
      </c>
      <c r="G9" s="2" t="n">
        <v>24.730241441</v>
      </c>
      <c r="H9" s="2" t="n">
        <v>16552</v>
      </c>
      <c r="I9" s="2" t="n">
        <v>93877</v>
      </c>
    </row>
    <row r="10">
      <c r="A10" s="2" t="inlineStr">
        <is>
          <t>Sample_1</t>
        </is>
      </c>
      <c r="B10" s="2" t="inlineStr">
        <is>
          <t>No intact annotated start observed</t>
        </is>
      </c>
      <c r="C10" s="2" t="n">
        <v>36942</v>
      </c>
      <c r="D10" s="2" t="n">
        <v>273560</v>
      </c>
      <c r="E10" s="2" t="n">
        <v>26.14076797822813</v>
      </c>
      <c r="F10" s="2" t="n">
        <v>14.18088467</v>
      </c>
      <c r="G10" s="2" t="n">
        <v>26.141767411</v>
      </c>
      <c r="H10" s="2" t="n">
        <v>27665</v>
      </c>
      <c r="I10" s="2" t="n">
        <v>93877</v>
      </c>
    </row>
    <row r="11">
      <c r="A11" s="2" t="inlineStr">
        <is>
          <t>Sample_1</t>
        </is>
      </c>
      <c r="B11" s="2" t="inlineStr">
        <is>
          <t>Uncertain / altered or incompletely covered start</t>
        </is>
      </c>
      <c r="C11" s="2" t="n">
        <v>9400</v>
      </c>
      <c r="D11" s="2" t="n">
        <v>73276</v>
      </c>
      <c r="E11" s="2" t="n">
        <v>7.002086980452714</v>
      </c>
      <c r="F11" s="2" t="n">
        <v>3.798483146</v>
      </c>
      <c r="G11" s="2" t="n">
        <v>7.002374737999999</v>
      </c>
      <c r="H11" s="2" t="n">
        <v>7950</v>
      </c>
      <c r="I11" s="2" t="n">
        <v>93877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inlineStr">
        <is>
          <t>TOTAL supporting reads</t>
        </is>
      </c>
      <c r="C13" s="2" t="n"/>
      <c r="D13" s="2">
        <f>SUM(D2:D11)</f>
        <v/>
      </c>
      <c r="E13" s="2" t="n"/>
      <c r="F13" s="2" t="n"/>
      <c r="G13" s="2" t="n"/>
      <c r="H13" s="2" t="n"/>
      <c r="I13" s="2" t="n"/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7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42" customHeight="1">
      <c r="A1" s="1" t="inlineStr">
        <is>
          <t>sample</t>
        </is>
      </c>
      <c r="B1" s="1" t="inlineStr">
        <is>
          <t>retained_start_group</t>
        </is>
      </c>
      <c r="C1" s="1" t="inlineStr">
        <is>
          <t>amplicon_clusters</t>
        </is>
      </c>
      <c r="D1" s="1" t="inlineStr">
        <is>
          <t>supporting_reads</t>
        </is>
      </c>
      <c r="E1" s="1" t="inlineStr">
        <is>
          <t>percent_of_imported_supporting_reads</t>
        </is>
      </c>
      <c r="F1" s="1" t="inlineStr">
        <is>
          <t>percent_quality_filtered_from_input</t>
        </is>
      </c>
      <c r="G1" s="1" t="inlineStr">
        <is>
          <t>percent_assigned_from_input</t>
        </is>
      </c>
      <c r="H1" s="1" t="inlineStr">
        <is>
          <t>clusters_with_unaligned_5prime_extension</t>
        </is>
      </c>
      <c r="I1" s="1" t="inlineStr">
        <is>
          <t>imported_clusters_in_sample</t>
        </is>
      </c>
    </row>
    <row r="2">
      <c r="A2" s="2" t="inlineStr">
        <is>
          <t>Sample_3</t>
        </is>
      </c>
      <c r="B2" s="2" t="inlineStr">
        <is>
          <t>uORF1 ATG retained</t>
        </is>
      </c>
      <c r="C2" s="2" t="n">
        <v>46340</v>
      </c>
      <c r="D2" s="2" t="n">
        <v>715649</v>
      </c>
      <c r="E2" s="2" t="n">
        <v>35.2200041438</v>
      </c>
      <c r="F2" s="2" t="n">
        <v>18.771124355</v>
      </c>
      <c r="G2" s="2" t="n">
        <v>35.219470945</v>
      </c>
      <c r="H2" s="2" t="n">
        <v>46338</v>
      </c>
      <c r="I2" s="2" t="n">
        <v>213754</v>
      </c>
    </row>
    <row r="3">
      <c r="A3" s="2" t="inlineStr">
        <is>
          <t>Sample_3</t>
        </is>
      </c>
      <c r="B3" s="2" t="inlineStr">
        <is>
          <t>uORF2 ATG retained</t>
        </is>
      </c>
      <c r="C3" s="2" t="n">
        <v>20029</v>
      </c>
      <c r="D3" s="2" t="n">
        <v>254360</v>
      </c>
      <c r="E3" s="2" t="n">
        <v>12.5180923246</v>
      </c>
      <c r="F3" s="2" t="n">
        <v>6.671678616</v>
      </c>
      <c r="G3" s="2" t="n">
        <v>12.517861765</v>
      </c>
      <c r="H3" s="2" t="n">
        <v>18911</v>
      </c>
      <c r="I3" s="2" t="n">
        <v>213754</v>
      </c>
    </row>
    <row r="4">
      <c r="A4" s="2" t="inlineStr">
        <is>
          <t>Sample_3</t>
        </is>
      </c>
      <c r="B4" s="2" t="inlineStr">
        <is>
          <t>uORF3 ATG retained</t>
        </is>
      </c>
      <c r="C4" s="2" t="n">
        <v>3100</v>
      </c>
      <c r="D4" s="2" t="n">
        <v>18655</v>
      </c>
      <c r="E4" s="2" t="n">
        <v>0.9180885844000001</v>
      </c>
      <c r="F4" s="2" t="n">
        <v>0.489265445</v>
      </c>
      <c r="G4" s="2" t="n">
        <v>0.91804713</v>
      </c>
      <c r="H4" s="2" t="n">
        <v>2773</v>
      </c>
      <c r="I4" s="2" t="n">
        <v>213754</v>
      </c>
    </row>
    <row r="5">
      <c r="A5" s="2" t="inlineStr">
        <is>
          <t>Sample_3</t>
        </is>
      </c>
      <c r="B5" s="2" t="inlineStr">
        <is>
          <t>uORF4 ATG retained</t>
        </is>
      </c>
      <c r="C5" s="2" t="n">
        <v>391</v>
      </c>
      <c r="D5" s="2" t="n">
        <v>1766</v>
      </c>
      <c r="E5" s="2" t="n">
        <v>0.08691205790000001</v>
      </c>
      <c r="F5" s="2" t="n">
        <v>0.046313765</v>
      </c>
      <c r="G5" s="2" t="n">
        <v>0.086906806</v>
      </c>
      <c r="H5" s="2" t="n">
        <v>344</v>
      </c>
      <c r="I5" s="2" t="n">
        <v>213754</v>
      </c>
    </row>
    <row r="6">
      <c r="A6" s="2" t="inlineStr">
        <is>
          <t>Sample_3</t>
        </is>
      </c>
      <c r="B6" s="2" t="inlineStr">
        <is>
          <t>uORF5 ATG retained</t>
        </is>
      </c>
      <c r="C6" s="2" t="n">
        <v>1177</v>
      </c>
      <c r="D6" s="2" t="n">
        <v>5237</v>
      </c>
      <c r="E6" s="2" t="n">
        <v>0.257734115</v>
      </c>
      <c r="F6" s="2" t="n">
        <v>0.137344664</v>
      </c>
      <c r="G6" s="2" t="n">
        <v>0.257718342</v>
      </c>
      <c r="H6" s="2" t="n">
        <v>663</v>
      </c>
      <c r="I6" s="2" t="n">
        <v>213754</v>
      </c>
    </row>
    <row r="7">
      <c r="A7" s="2" t="inlineStr">
        <is>
          <t>Sample_3</t>
        </is>
      </c>
      <c r="B7" s="2" t="inlineStr">
        <is>
          <t>Main DAL2 ATG retained</t>
        </is>
      </c>
      <c r="C7" s="2" t="n">
        <v>13640</v>
      </c>
      <c r="D7" s="2" t="n">
        <v>103710</v>
      </c>
      <c r="E7" s="2" t="n">
        <v>5.1039918029</v>
      </c>
      <c r="F7" s="2" t="n">
        <v>2.720126441</v>
      </c>
      <c r="G7" s="2" t="n">
        <v>5.10382818</v>
      </c>
      <c r="H7" s="2" t="n">
        <v>12173</v>
      </c>
      <c r="I7" s="2" t="n">
        <v>213754</v>
      </c>
    </row>
    <row r="8">
      <c r="A8" s="2" t="inlineStr">
        <is>
          <t>Sample_3</t>
        </is>
      </c>
      <c r="B8" s="2" t="inlineStr">
        <is>
          <t>Internal ATG A retained</t>
        </is>
      </c>
      <c r="C8" s="2" t="n">
        <v>5573</v>
      </c>
      <c r="D8" s="2" t="n">
        <v>34438</v>
      </c>
      <c r="E8" s="2" t="n">
        <v>1.694834343</v>
      </c>
      <c r="F8" s="2" t="n">
        <v>0.9032315670000001</v>
      </c>
      <c r="G8" s="2" t="n">
        <v>1.694764847</v>
      </c>
      <c r="H8" s="2" t="n">
        <v>4672</v>
      </c>
      <c r="I8" s="2" t="n">
        <v>213754</v>
      </c>
    </row>
    <row r="9">
      <c r="A9" s="2" t="inlineStr">
        <is>
          <t>Sample_3</t>
        </is>
      </c>
      <c r="B9" s="2" t="inlineStr">
        <is>
          <t>Internal ATG B retained</t>
        </is>
      </c>
      <c r="C9" s="2" t="n">
        <v>38260</v>
      </c>
      <c r="D9" s="2" t="n">
        <v>407076</v>
      </c>
      <c r="E9" s="2" t="n">
        <v>20.033869127</v>
      </c>
      <c r="F9" s="2" t="n">
        <v>10.677293043</v>
      </c>
      <c r="G9" s="2" t="n">
        <v>20.033447189</v>
      </c>
      <c r="H9" s="2" t="n">
        <v>35004</v>
      </c>
      <c r="I9" s="2" t="n">
        <v>213754</v>
      </c>
    </row>
    <row r="10">
      <c r="A10" s="2" t="inlineStr">
        <is>
          <t>Sample_3</t>
        </is>
      </c>
      <c r="B10" s="2" t="inlineStr">
        <is>
          <t>No intact annotated start observed</t>
        </is>
      </c>
      <c r="C10" s="2" t="n">
        <v>68487</v>
      </c>
      <c r="D10" s="2" t="n">
        <v>385450</v>
      </c>
      <c r="E10" s="2" t="n">
        <v>18.9695655234</v>
      </c>
      <c r="F10" s="2" t="n">
        <v>10.109571027</v>
      </c>
      <c r="G10" s="2" t="n">
        <v>18.968724015</v>
      </c>
      <c r="H10" s="2" t="n">
        <v>44293</v>
      </c>
      <c r="I10" s="2" t="n">
        <v>213754</v>
      </c>
    </row>
    <row r="11">
      <c r="A11" s="2" t="inlineStr">
        <is>
          <t>Sample_3</t>
        </is>
      </c>
      <c r="B11" s="2" t="inlineStr">
        <is>
          <t>Uncertain / altered or incompletely covered start</t>
        </is>
      </c>
      <c r="C11" s="2" t="n">
        <v>16757</v>
      </c>
      <c r="D11" s="2" t="n">
        <v>105598</v>
      </c>
      <c r="E11" s="2" t="n">
        <v>5.196907978</v>
      </c>
      <c r="F11" s="2" t="n">
        <v>2.769609037</v>
      </c>
      <c r="G11" s="2" t="n">
        <v>5.196689055</v>
      </c>
      <c r="H11" s="2" t="n">
        <v>12814</v>
      </c>
      <c r="I11" s="2" t="n">
        <v>213754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inlineStr">
        <is>
          <t>TOTAL supporting reads</t>
        </is>
      </c>
      <c r="C13" s="2" t="n"/>
      <c r="D13" s="2">
        <f>SUM(D2:D11)</f>
        <v/>
      </c>
      <c r="E13" s="2" t="n"/>
      <c r="F13" s="2" t="n"/>
      <c r="G13" s="2" t="n"/>
      <c r="H13" s="2" t="n"/>
      <c r="I13" s="2" t="n"/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42" customHeight="1">
      <c r="A1" s="1" t="inlineStr">
        <is>
          <t>Retained-start group</t>
        </is>
      </c>
      <c r="B1" s="1" t="inlineStr">
        <is>
          <t>WT supporting reads</t>
        </is>
      </c>
      <c r="C1" s="1" t="inlineStr">
        <is>
          <t>WT total reads</t>
        </is>
      </c>
      <c r="D1" s="1" t="inlineStr">
        <is>
          <t>WT percentage</t>
        </is>
      </c>
      <c r="E1" s="1" t="inlineStr">
        <is>
          <t>upf3Δ supporting reads</t>
        </is>
      </c>
      <c r="F1" s="1" t="inlineStr">
        <is>
          <t>upf3Δ total reads</t>
        </is>
      </c>
      <c r="G1" s="1" t="inlineStr">
        <is>
          <t>upf3Δ percentage</t>
        </is>
      </c>
      <c r="H1" s="1" t="inlineStr">
        <is>
          <t>Fold: upf3Δ / WT</t>
        </is>
      </c>
      <c r="I1" s="1" t="inlineStr">
        <is>
          <t>Difference (percentage points)</t>
        </is>
      </c>
      <c r="J1" s="1" t="inlineStr">
        <is>
          <t>WT source %</t>
        </is>
      </c>
      <c r="K1" s="1" t="inlineStr">
        <is>
          <t>upf3 source %</t>
        </is>
      </c>
    </row>
    <row r="2">
      <c r="A2" s="2" t="inlineStr">
        <is>
          <t>uORF1 ATG retained</t>
        </is>
      </c>
      <c r="B2" s="3">
        <f>'WT source'!D2</f>
        <v/>
      </c>
      <c r="C2" s="3">
        <f>'WT source'!$D$13</f>
        <v/>
      </c>
      <c r="D2" s="4">
        <f>B2/C2</f>
        <v/>
      </c>
      <c r="E2" s="3">
        <f>'upf3 source'!D2</f>
        <v/>
      </c>
      <c r="F2" s="3">
        <f>'upf3 source'!$D$13</f>
        <v/>
      </c>
      <c r="G2" s="4">
        <f>E2/F2</f>
        <v/>
      </c>
      <c r="H2" s="5">
        <f>IF(D2=0,"Undefined",G2/D2)</f>
        <v/>
      </c>
      <c r="I2" s="5">
        <f>100*(G2-D2)</f>
        <v/>
      </c>
      <c r="J2" s="4">
        <f>'WT source'!E2/100</f>
        <v/>
      </c>
      <c r="K2" s="4">
        <f>'upf3 source'!E2/100</f>
        <v/>
      </c>
    </row>
    <row r="3">
      <c r="A3" s="2" t="inlineStr">
        <is>
          <t>uORF2 ATG retained</t>
        </is>
      </c>
      <c r="B3" s="3">
        <f>'WT source'!D3</f>
        <v/>
      </c>
      <c r="C3" s="3">
        <f>'WT source'!$D$13</f>
        <v/>
      </c>
      <c r="D3" s="4">
        <f>B3/C3</f>
        <v/>
      </c>
      <c r="E3" s="3">
        <f>'upf3 source'!D3</f>
        <v/>
      </c>
      <c r="F3" s="3">
        <f>'upf3 source'!$D$13</f>
        <v/>
      </c>
      <c r="G3" s="4">
        <f>E3/F3</f>
        <v/>
      </c>
      <c r="H3" s="5">
        <f>IF(D3=0,"Undefined",G3/D3)</f>
        <v/>
      </c>
      <c r="I3" s="5">
        <f>100*(G3-D3)</f>
        <v/>
      </c>
      <c r="J3" s="4">
        <f>'WT source'!E3/100</f>
        <v/>
      </c>
      <c r="K3" s="4">
        <f>'upf3 source'!E3/100</f>
        <v/>
      </c>
    </row>
    <row r="4">
      <c r="A4" s="2" t="inlineStr">
        <is>
          <t>uORF3 ATG retained</t>
        </is>
      </c>
      <c r="B4" s="3">
        <f>'WT source'!D4</f>
        <v/>
      </c>
      <c r="C4" s="3">
        <f>'WT source'!$D$13</f>
        <v/>
      </c>
      <c r="D4" s="4">
        <f>B4/C4</f>
        <v/>
      </c>
      <c r="E4" s="3">
        <f>'upf3 source'!D4</f>
        <v/>
      </c>
      <c r="F4" s="3">
        <f>'upf3 source'!$D$13</f>
        <v/>
      </c>
      <c r="G4" s="4">
        <f>E4/F4</f>
        <v/>
      </c>
      <c r="H4" s="5">
        <f>IF(D4=0,"Undefined",G4/D4)</f>
        <v/>
      </c>
      <c r="I4" s="5">
        <f>100*(G4-D4)</f>
        <v/>
      </c>
      <c r="J4" s="4">
        <f>'WT source'!E4/100</f>
        <v/>
      </c>
      <c r="K4" s="4">
        <f>'upf3 source'!E4/100</f>
        <v/>
      </c>
    </row>
    <row r="5">
      <c r="A5" s="2" t="inlineStr">
        <is>
          <t>uORF4 ATG retained</t>
        </is>
      </c>
      <c r="B5" s="3">
        <f>'WT source'!D5</f>
        <v/>
      </c>
      <c r="C5" s="3">
        <f>'WT source'!$D$13</f>
        <v/>
      </c>
      <c r="D5" s="4">
        <f>B5/C5</f>
        <v/>
      </c>
      <c r="E5" s="3">
        <f>'upf3 source'!D5</f>
        <v/>
      </c>
      <c r="F5" s="3">
        <f>'upf3 source'!$D$13</f>
        <v/>
      </c>
      <c r="G5" s="4">
        <f>E5/F5</f>
        <v/>
      </c>
      <c r="H5" s="5">
        <f>IF(D5=0,"Undefined",G5/D5)</f>
        <v/>
      </c>
      <c r="I5" s="5">
        <f>100*(G5-D5)</f>
        <v/>
      </c>
      <c r="J5" s="4">
        <f>'WT source'!E5/100</f>
        <v/>
      </c>
      <c r="K5" s="4">
        <f>'upf3 source'!E5/100</f>
        <v/>
      </c>
    </row>
    <row r="6">
      <c r="A6" s="2" t="inlineStr">
        <is>
          <t>uORF5 ATG retained</t>
        </is>
      </c>
      <c r="B6" s="3">
        <f>'WT source'!D6</f>
        <v/>
      </c>
      <c r="C6" s="3">
        <f>'WT source'!$D$13</f>
        <v/>
      </c>
      <c r="D6" s="4">
        <f>B6/C6</f>
        <v/>
      </c>
      <c r="E6" s="3">
        <f>'upf3 source'!D6</f>
        <v/>
      </c>
      <c r="F6" s="3">
        <f>'upf3 source'!$D$13</f>
        <v/>
      </c>
      <c r="G6" s="4">
        <f>E6/F6</f>
        <v/>
      </c>
      <c r="H6" s="5">
        <f>IF(D6=0,"Undefined",G6/D6)</f>
        <v/>
      </c>
      <c r="I6" s="5">
        <f>100*(G6-D6)</f>
        <v/>
      </c>
      <c r="J6" s="4">
        <f>'WT source'!E6/100</f>
        <v/>
      </c>
      <c r="K6" s="4">
        <f>'upf3 source'!E6/100</f>
        <v/>
      </c>
    </row>
    <row r="7">
      <c r="A7" s="2" t="inlineStr">
        <is>
          <t>Main DAL2 ATG retained</t>
        </is>
      </c>
      <c r="B7" s="3">
        <f>'WT source'!D7</f>
        <v/>
      </c>
      <c r="C7" s="3">
        <f>'WT source'!$D$13</f>
        <v/>
      </c>
      <c r="D7" s="4">
        <f>B7/C7</f>
        <v/>
      </c>
      <c r="E7" s="3">
        <f>'upf3 source'!D7</f>
        <v/>
      </c>
      <c r="F7" s="3">
        <f>'upf3 source'!$D$13</f>
        <v/>
      </c>
      <c r="G7" s="4">
        <f>E7/F7</f>
        <v/>
      </c>
      <c r="H7" s="5">
        <f>IF(D7=0,"Undefined",G7/D7)</f>
        <v/>
      </c>
      <c r="I7" s="5">
        <f>100*(G7-D7)</f>
        <v/>
      </c>
      <c r="J7" s="4">
        <f>'WT source'!E7/100</f>
        <v/>
      </c>
      <c r="K7" s="4">
        <f>'upf3 source'!E7/100</f>
        <v/>
      </c>
    </row>
    <row r="8">
      <c r="A8" s="2" t="inlineStr">
        <is>
          <t>Internal ATG A retained</t>
        </is>
      </c>
      <c r="B8" s="3">
        <f>'WT source'!D8</f>
        <v/>
      </c>
      <c r="C8" s="3">
        <f>'WT source'!$D$13</f>
        <v/>
      </c>
      <c r="D8" s="4">
        <f>B8/C8</f>
        <v/>
      </c>
      <c r="E8" s="3">
        <f>'upf3 source'!D8</f>
        <v/>
      </c>
      <c r="F8" s="3">
        <f>'upf3 source'!$D$13</f>
        <v/>
      </c>
      <c r="G8" s="4">
        <f>E8/F8</f>
        <v/>
      </c>
      <c r="H8" s="5">
        <f>IF(D8=0,"Undefined",G8/D8)</f>
        <v/>
      </c>
      <c r="I8" s="5">
        <f>100*(G8-D8)</f>
        <v/>
      </c>
      <c r="J8" s="4">
        <f>'WT source'!E8/100</f>
        <v/>
      </c>
      <c r="K8" s="4">
        <f>'upf3 source'!E8/100</f>
        <v/>
      </c>
    </row>
    <row r="9">
      <c r="A9" s="2" t="inlineStr">
        <is>
          <t>Internal ATG B retained</t>
        </is>
      </c>
      <c r="B9" s="3">
        <f>'WT source'!D9</f>
        <v/>
      </c>
      <c r="C9" s="3">
        <f>'WT source'!$D$13</f>
        <v/>
      </c>
      <c r="D9" s="4">
        <f>B9/C9</f>
        <v/>
      </c>
      <c r="E9" s="3">
        <f>'upf3 source'!D9</f>
        <v/>
      </c>
      <c r="F9" s="3">
        <f>'upf3 source'!$D$13</f>
        <v/>
      </c>
      <c r="G9" s="4">
        <f>E9/F9</f>
        <v/>
      </c>
      <c r="H9" s="5">
        <f>IF(D9=0,"Undefined",G9/D9)</f>
        <v/>
      </c>
      <c r="I9" s="5">
        <f>100*(G9-D9)</f>
        <v/>
      </c>
      <c r="J9" s="4">
        <f>'WT source'!E9/100</f>
        <v/>
      </c>
      <c r="K9" s="4">
        <f>'upf3 source'!E9/100</f>
        <v/>
      </c>
    </row>
    <row r="10">
      <c r="A10" s="2" t="inlineStr">
        <is>
          <t>No intact annotated start observed</t>
        </is>
      </c>
      <c r="B10" s="3">
        <f>'WT source'!D10</f>
        <v/>
      </c>
      <c r="C10" s="3">
        <f>'WT source'!$D$13</f>
        <v/>
      </c>
      <c r="D10" s="4">
        <f>B10/C10</f>
        <v/>
      </c>
      <c r="E10" s="3">
        <f>'upf3 source'!D10</f>
        <v/>
      </c>
      <c r="F10" s="3">
        <f>'upf3 source'!$D$13</f>
        <v/>
      </c>
      <c r="G10" s="4">
        <f>E10/F10</f>
        <v/>
      </c>
      <c r="H10" s="5">
        <f>IF(D10=0,"Undefined",G10/D10)</f>
        <v/>
      </c>
      <c r="I10" s="5">
        <f>100*(G10-D10)</f>
        <v/>
      </c>
      <c r="J10" s="4">
        <f>'WT source'!E10/100</f>
        <v/>
      </c>
      <c r="K10" s="4">
        <f>'upf3 source'!E10/100</f>
        <v/>
      </c>
    </row>
    <row r="11">
      <c r="A11" s="2" t="inlineStr">
        <is>
          <t>Uncertain / altered or incompletely covered start</t>
        </is>
      </c>
      <c r="B11" s="3">
        <f>'WT source'!D11</f>
        <v/>
      </c>
      <c r="C11" s="3">
        <f>'WT source'!$D$13</f>
        <v/>
      </c>
      <c r="D11" s="4">
        <f>B11/C11</f>
        <v/>
      </c>
      <c r="E11" s="3">
        <f>'upf3 source'!D11</f>
        <v/>
      </c>
      <c r="F11" s="3">
        <f>'upf3 source'!$D$13</f>
        <v/>
      </c>
      <c r="G11" s="4">
        <f>E11/F11</f>
        <v/>
      </c>
      <c r="H11" s="5">
        <f>IF(D11=0,"Undefined",G11/D11)</f>
        <v/>
      </c>
      <c r="I11" s="5">
        <f>100*(G11-D11)</f>
        <v/>
      </c>
      <c r="J11" s="4">
        <f>'WT source'!E11/100</f>
        <v/>
      </c>
      <c r="K11" s="4">
        <f>'upf3 source'!E11/100</f>
        <v/>
      </c>
    </row>
    <row r="12">
      <c r="A12" s="2" t="inlineStr">
        <is>
          <t>ALL uORF-retaining groups</t>
        </is>
      </c>
      <c r="B12" s="3">
        <f>SUM(B2:B6)</f>
        <v/>
      </c>
      <c r="C12" s="3">
        <f>'WT source'!$D$13</f>
        <v/>
      </c>
      <c r="D12" s="4">
        <f>B12/C12</f>
        <v/>
      </c>
      <c r="E12" s="3">
        <f>SUM(E2:E6)</f>
        <v/>
      </c>
      <c r="F12" s="3">
        <f>'upf3 source'!$D$13</f>
        <v/>
      </c>
      <c r="G12" s="4">
        <f>E12/F12</f>
        <v/>
      </c>
      <c r="H12" s="5">
        <f>G12/D12</f>
        <v/>
      </c>
      <c r="I12" s="5">
        <f>100*(G12-D12)</f>
        <v/>
      </c>
      <c r="J12" s="4">
        <f>SUM(J2:J6)</f>
        <v/>
      </c>
      <c r="K12" s="4">
        <f>SUM(K2:K6)</f>
        <v/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2026-10-08T15:10:36Z</dcterms:created>
  <dcterms:modified xsi:type="dcterms:W3CDTF">2026-10-08T15:10:36Z</dcterms:modified>
</cp:coreProperties>
</file>