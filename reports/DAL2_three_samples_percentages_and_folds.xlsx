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  <sheet name="WT source" sheetId="2" state="visible" r:id="rId2"/>
    <sheet name="upf1 source" sheetId="3" state="visible" r:id="rId3"/>
    <sheet name="upf3 source" sheetId="4" state="visible" r:id="rId4"/>
    <sheet name="Comparison values" sheetId="5" state="visible" r:id="rId5"/>
    <sheet name="Comparison formulas" sheetId="6" state="visible" r:id="rId6"/>
  </sheets>
  <definedNames>
    <definedName name="_xlnm._FilterDatabase" localSheetId="0" hidden="1">'Methods'!$A$1:$B$14</definedName>
    <definedName name="_xlnm._FilterDatabase" localSheetId="1" hidden="1">'WT source'!$A$1:$I$11</definedName>
    <definedName name="_xlnm._FilterDatabase" localSheetId="2" hidden="1">'upf1 source'!$A$1:$I$11</definedName>
    <definedName name="_xlnm._FilterDatabase" localSheetId="3" hidden="1">'upf3 source'!$A$1:$I$11</definedName>
    <definedName name="_xlnm._FilterDatabase" localSheetId="4" hidden="1">'Comparison values'!$A$1:$K$12</definedName>
    <definedName name="_xlnm._FilterDatabase" localSheetId="5" hidden="1">'Comparison formulas'!$A$1:$K$12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45" customHeight="1">
      <c r="A1" s="1" t="inlineStr">
        <is>
          <t>Step</t>
        </is>
      </c>
      <c r="B1" s="1" t="inlineStr">
        <is>
          <t>What was done</t>
        </is>
      </c>
    </row>
    <row r="2" ht="45" customHeight="1">
      <c r="A2" s="2" t="inlineStr">
        <is>
          <t>Sample identities</t>
        </is>
      </c>
      <c r="B2" s="2" t="inlineStr">
        <is>
          <t>Sample_1 = WT; Sample_2 = upf1Δ; Sample_3 = upf3Δ, based on user identification.</t>
        </is>
      </c>
    </row>
    <row r="3" ht="45" customHeight="1">
      <c r="A3" s="2" t="inlineStr">
        <is>
          <t>Inputs</t>
        </is>
      </c>
      <c r="B3" s="2" t="inlineStr">
        <is>
          <t>The three uploaded retained-start summary CSVs. Every group is included; no filtering was added.</t>
        </is>
      </c>
    </row>
    <row r="4" ht="45" customHeight="1">
      <c r="A4" s="2" t="inlineStr">
        <is>
          <t>Denominator</t>
        </is>
      </c>
      <c r="B4" s="2" t="inlineStr">
        <is>
          <t>Sum supporting_reads across all groups separately for each sample, including uncertain and no-intact-start groups.</t>
        </is>
      </c>
    </row>
    <row r="5" ht="45" customHeight="1">
      <c r="A5" s="2" t="inlineStr">
        <is>
          <t>Totals</t>
        </is>
      </c>
      <c r="B5" s="2" t="inlineStr">
        <is>
          <t>WT: 1,046,488; upf1Δ: 2,233,376; upf3Δ: 2,031,939</t>
        </is>
      </c>
    </row>
    <row r="6" ht="45" customHeight="1">
      <c r="A6" s="2" t="inlineStr">
        <is>
          <t>Percentage</t>
        </is>
      </c>
      <c r="B6" s="2" t="inlineStr">
        <is>
          <t>100 × group supporting_reads / total imported supporting_reads for that sample.</t>
        </is>
      </c>
    </row>
    <row r="7" ht="45" customHeight="1">
      <c r="A7" s="2" t="inlineStr">
        <is>
          <t>Fold relative to WT</t>
        </is>
      </c>
      <c r="B7" s="2" t="inlineStr">
        <is>
          <t>Mutant group fraction / WT group fraction, calculated without rounding. Values above 1 mean relative enrichment; below 1 mean lower representation.</t>
        </is>
      </c>
    </row>
    <row r="8" ht="45" customHeight="1">
      <c r="A8" s="2" t="inlineStr">
        <is>
          <t>Percentage-point change</t>
        </is>
      </c>
      <c r="B8" s="2" t="inlineStr">
        <is>
          <t>Mutant percentage minus WT percentage. Distinct from fold change.</t>
        </is>
      </c>
    </row>
    <row r="9" ht="45" customHeight="1">
      <c r="A9" s="2" t="inlineStr">
        <is>
          <t>Combined uORF group</t>
        </is>
      </c>
      <c r="B9" s="2" t="inlineStr">
        <is>
          <t>Sum supporting reads for uORF1–5 once each, divided by the all-group denominator. Groups describe the first supported retained ATG, not numbers of translated uORFs.</t>
        </is>
      </c>
    </row>
    <row r="10" ht="45" customHeight="1">
      <c r="A10" s="2" t="inlineStr">
        <is>
          <t>Validation</t>
        </is>
      </c>
      <c r="B10" s="2" t="inlineStr">
        <is>
          <t>Recomputed percentages match the supplied percent_of_imported_supporting_reads columns. Source sample labels and group sets checked.</t>
        </is>
      </c>
    </row>
    <row r="11" ht="45" customHeight="1">
      <c r="A11" s="2" t="inlineStr">
        <is>
          <t>Rounding</t>
        </is>
      </c>
      <c r="B11" s="2" t="inlineStr">
        <is>
          <t>Display percentages and folds to two decimals. Calculation values retain full precision.</t>
        </is>
      </c>
    </row>
    <row r="12" ht="45" customHeight="1">
      <c r="A12" s="2" t="inlineStr">
        <is>
          <t>Other denominators</t>
        </is>
      </c>
      <c r="B12" s="2" t="inlineStr">
        <is>
          <t>Original quality-filtered and assigned percentages are preserved on source sheets. They are not the denominator used for the main comparison.</t>
        </is>
      </c>
    </row>
    <row r="13" ht="45" customHeight="1">
      <c r="A13" s="2" t="inlineStr">
        <is>
          <t>Interpretation</t>
        </is>
      </c>
      <c r="B13" s="2" t="inlineStr">
        <is>
          <t>PCR-derived read composition, not absolute RNA abundance or proven NMD sensitivity. No biological-replicate statistics or confidence intervals are inferred.</t>
        </is>
      </c>
    </row>
    <row r="14" ht="45" customHeight="1">
      <c r="A14" s="2" t="inlineStr">
        <is>
          <t>Workbook organization</t>
        </is>
      </c>
      <c r="B14" s="2" t="inlineStr">
        <is>
          <t>Comparison values contains immediately readable numeric results. Comparison formulas contains live Excel formulas referencing original source sheets.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45" customHeight="1">
      <c r="A1" s="1" t="inlineStr">
        <is>
          <t>sample</t>
        </is>
      </c>
      <c r="B1" s="1" t="inlineStr">
        <is>
          <t>retained_start_group</t>
        </is>
      </c>
      <c r="C1" s="1" t="inlineStr">
        <is>
          <t>amplicon_clusters</t>
        </is>
      </c>
      <c r="D1" s="1" t="inlineStr">
        <is>
          <t>supporting_reads</t>
        </is>
      </c>
      <c r="E1" s="1" t="inlineStr">
        <is>
          <t>percent_of_imported_supporting_reads</t>
        </is>
      </c>
      <c r="F1" s="1" t="inlineStr">
        <is>
          <t>percent_quality_filtered_from_input</t>
        </is>
      </c>
      <c r="G1" s="1" t="inlineStr">
        <is>
          <t>percent_assigned_from_input</t>
        </is>
      </c>
      <c r="H1" s="1" t="inlineStr">
        <is>
          <t>clusters_with_unaligned_5prime_extension</t>
        </is>
      </c>
      <c r="I1" s="1" t="inlineStr">
        <is>
          <t>imported_clusters_in_sample</t>
        </is>
      </c>
    </row>
    <row r="2">
      <c r="A2" s="2" t="inlineStr">
        <is>
          <t>Sample_1</t>
        </is>
      </c>
      <c r="B2" s="2" t="inlineStr">
        <is>
          <t>uORF1 ATG retained</t>
        </is>
      </c>
      <c r="C2" s="2" t="n">
        <v>11848</v>
      </c>
      <c r="D2" s="2" t="n">
        <v>210365</v>
      </c>
      <c r="E2" s="2" t="n">
        <v>20.10199830289502</v>
      </c>
      <c r="F2" s="2" t="n">
        <v>10.905390012</v>
      </c>
      <c r="G2" s="2" t="n">
        <v>20.102336334</v>
      </c>
      <c r="H2" s="2" t="n">
        <v>11848</v>
      </c>
      <c r="I2" s="2" t="n">
        <v>93877</v>
      </c>
    </row>
    <row r="3">
      <c r="A3" s="2" t="inlineStr">
        <is>
          <t>Sample_1</t>
        </is>
      </c>
      <c r="B3" s="2" t="inlineStr">
        <is>
          <t>uORF2 ATG retained</t>
        </is>
      </c>
      <c r="C3" s="2" t="n">
        <v>3499</v>
      </c>
      <c r="D3" s="2" t="n">
        <v>64049</v>
      </c>
      <c r="E3" s="2" t="n">
        <v>6.12037596226617</v>
      </c>
      <c r="F3" s="2" t="n">
        <v>3.320318439</v>
      </c>
      <c r="G3" s="2" t="n">
        <v>6.120481430000001</v>
      </c>
      <c r="H3" s="2" t="n">
        <v>3320</v>
      </c>
      <c r="I3" s="2" t="n">
        <v>93877</v>
      </c>
    </row>
    <row r="4">
      <c r="A4" s="2" t="inlineStr">
        <is>
          <t>Sample_1</t>
        </is>
      </c>
      <c r="B4" s="2" t="inlineStr">
        <is>
          <t>uORF3 ATG retained</t>
        </is>
      </c>
      <c r="C4" s="2" t="n">
        <v>629</v>
      </c>
      <c r="D4" s="2" t="n">
        <v>4540</v>
      </c>
      <c r="E4" s="2" t="n">
        <v>0.4338320171850991</v>
      </c>
      <c r="F4" s="2" t="n">
        <v>0.235339932</v>
      </c>
      <c r="G4" s="2" t="n">
        <v>0.433854588</v>
      </c>
      <c r="H4" s="2" t="n">
        <v>573</v>
      </c>
      <c r="I4" s="2" t="n">
        <v>93877</v>
      </c>
    </row>
    <row r="5">
      <c r="A5" s="2" t="inlineStr">
        <is>
          <t>Sample_1</t>
        </is>
      </c>
      <c r="B5" s="2" t="inlineStr">
        <is>
          <t>uORF4 ATG retained</t>
        </is>
      </c>
      <c r="C5" s="2" t="n">
        <v>135</v>
      </c>
      <c r="D5" s="2" t="n">
        <v>800</v>
      </c>
      <c r="E5" s="2" t="n">
        <v>0.07644617042909235</v>
      </c>
      <c r="F5" s="2" t="n">
        <v>0.041469179</v>
      </c>
      <c r="G5" s="2" t="n">
        <v>0.07645056500000001</v>
      </c>
      <c r="H5" s="2" t="n">
        <v>128</v>
      </c>
      <c r="I5" s="2" t="n">
        <v>93877</v>
      </c>
    </row>
    <row r="6">
      <c r="A6" s="2" t="inlineStr">
        <is>
          <t>Sample_1</t>
        </is>
      </c>
      <c r="B6" s="2" t="inlineStr">
        <is>
          <t>uORF5 ATG retained</t>
        </is>
      </c>
      <c r="C6" s="2" t="n">
        <v>414</v>
      </c>
      <c r="D6" s="2" t="n">
        <v>2498</v>
      </c>
      <c r="E6" s="2" t="n">
        <v>0.2387031671648409</v>
      </c>
      <c r="F6" s="2" t="n">
        <v>0.129487204</v>
      </c>
      <c r="G6" s="2" t="n">
        <v>0.238717194</v>
      </c>
      <c r="H6" s="2" t="n">
        <v>214</v>
      </c>
      <c r="I6" s="2" t="n">
        <v>93877</v>
      </c>
    </row>
    <row r="7">
      <c r="A7" s="2" t="inlineStr">
        <is>
          <t>Sample_1</t>
        </is>
      </c>
      <c r="B7" s="2" t="inlineStr">
        <is>
          <t>Main DAL2 ATG retained</t>
        </is>
      </c>
      <c r="C7" s="2" t="n">
        <v>10508</v>
      </c>
      <c r="D7" s="2" t="n">
        <v>141776</v>
      </c>
      <c r="E7" s="2" t="n">
        <v>13.54779032344375</v>
      </c>
      <c r="F7" s="2" t="n">
        <v>7.349641679999999</v>
      </c>
      <c r="G7" s="2" t="n">
        <v>13.548091128</v>
      </c>
      <c r="H7" s="2" t="n">
        <v>9625</v>
      </c>
      <c r="I7" s="2" t="n">
        <v>93877</v>
      </c>
    </row>
    <row r="8">
      <c r="A8" s="2" t="inlineStr">
        <is>
          <t>Sample_1</t>
        </is>
      </c>
      <c r="B8" s="2" t="inlineStr">
        <is>
          <t>Internal ATG A retained</t>
        </is>
      </c>
      <c r="C8" s="2" t="n">
        <v>2443</v>
      </c>
      <c r="D8" s="2" t="n">
        <v>16830</v>
      </c>
      <c r="E8" s="2" t="n">
        <v>1.60823631040203</v>
      </c>
      <c r="F8" s="2" t="n">
        <v>0.8724216300000001</v>
      </c>
      <c r="G8" s="2" t="n">
        <v>1.608314851</v>
      </c>
      <c r="H8" s="2" t="n">
        <v>2123</v>
      </c>
      <c r="I8" s="2" t="n">
        <v>93877</v>
      </c>
    </row>
    <row r="9">
      <c r="A9" s="2" t="inlineStr">
        <is>
          <t>Sample_1</t>
        </is>
      </c>
      <c r="B9" s="2" t="inlineStr">
        <is>
          <t>Internal ATG B retained</t>
        </is>
      </c>
      <c r="C9" s="2" t="n">
        <v>18059</v>
      </c>
      <c r="D9" s="2" t="n">
        <v>258794</v>
      </c>
      <c r="E9" s="2" t="n">
        <v>24.72976278753316</v>
      </c>
      <c r="F9" s="2" t="n">
        <v>13.415902976</v>
      </c>
      <c r="G9" s="2" t="n">
        <v>24.730241441</v>
      </c>
      <c r="H9" s="2" t="n">
        <v>16552</v>
      </c>
      <c r="I9" s="2" t="n">
        <v>93877</v>
      </c>
    </row>
    <row r="10">
      <c r="A10" s="2" t="inlineStr">
        <is>
          <t>Sample_1</t>
        </is>
      </c>
      <c r="B10" s="2" t="inlineStr">
        <is>
          <t>No intact annotated start observed</t>
        </is>
      </c>
      <c r="C10" s="2" t="n">
        <v>36942</v>
      </c>
      <c r="D10" s="2" t="n">
        <v>273560</v>
      </c>
      <c r="E10" s="2" t="n">
        <v>26.14076797822813</v>
      </c>
      <c r="F10" s="2" t="n">
        <v>14.18088467</v>
      </c>
      <c r="G10" s="2" t="n">
        <v>26.141767411</v>
      </c>
      <c r="H10" s="2" t="n">
        <v>27665</v>
      </c>
      <c r="I10" s="2" t="n">
        <v>93877</v>
      </c>
    </row>
    <row r="11">
      <c r="A11" s="2" t="inlineStr">
        <is>
          <t>Sample_1</t>
        </is>
      </c>
      <c r="B11" s="2" t="inlineStr">
        <is>
          <t>Uncertain / altered or incompletely covered start</t>
        </is>
      </c>
      <c r="C11" s="2" t="n">
        <v>9400</v>
      </c>
      <c r="D11" s="2" t="n">
        <v>73276</v>
      </c>
      <c r="E11" s="2" t="n">
        <v>7.002086980452714</v>
      </c>
      <c r="F11" s="2" t="n">
        <v>3.798483146</v>
      </c>
      <c r="G11" s="2" t="n">
        <v>7.002374737999999</v>
      </c>
      <c r="H11" s="2" t="n">
        <v>7950</v>
      </c>
      <c r="I11" s="2" t="n">
        <v>93877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inlineStr">
        <is>
          <t>TOTAL supporting reads</t>
        </is>
      </c>
      <c r="C13" s="2" t="n"/>
      <c r="D13" s="2">
        <f>SUM(D2:D11)</f>
        <v/>
      </c>
      <c r="E13" s="2" t="n"/>
      <c r="F13" s="2" t="n"/>
      <c r="G13" s="2" t="n"/>
      <c r="H13" s="2" t="n"/>
      <c r="I13" s="2" t="n"/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45" customHeight="1">
      <c r="A1" s="1" t="inlineStr">
        <is>
          <t>sample</t>
        </is>
      </c>
      <c r="B1" s="1" t="inlineStr">
        <is>
          <t>retained_start_group</t>
        </is>
      </c>
      <c r="C1" s="1" t="inlineStr">
        <is>
          <t>amplicon_clusters</t>
        </is>
      </c>
      <c r="D1" s="1" t="inlineStr">
        <is>
          <t>supporting_reads</t>
        </is>
      </c>
      <c r="E1" s="1" t="inlineStr">
        <is>
          <t>percent_of_imported_supporting_reads</t>
        </is>
      </c>
      <c r="F1" s="1" t="inlineStr">
        <is>
          <t>percent_quality_filtered_from_input</t>
        </is>
      </c>
      <c r="G1" s="1" t="inlineStr">
        <is>
          <t>percent_assigned_from_input</t>
        </is>
      </c>
      <c r="H1" s="1" t="inlineStr">
        <is>
          <t>clusters_with_unaligned_5prime_extension</t>
        </is>
      </c>
      <c r="I1" s="1" t="inlineStr">
        <is>
          <t>imported_clusters_in_sample</t>
        </is>
      </c>
    </row>
    <row r="2">
      <c r="A2" s="2" t="inlineStr">
        <is>
          <t>Sample_2</t>
        </is>
      </c>
      <c r="B2" s="2" t="inlineStr">
        <is>
          <t>uORF1 ATG retained</t>
        </is>
      </c>
      <c r="C2" s="2" t="n">
        <v>48517</v>
      </c>
      <c r="D2" s="2" t="n">
        <v>827396</v>
      </c>
      <c r="E2" s="2" t="n">
        <v>37.04687432837104</v>
      </c>
      <c r="F2" s="2" t="n">
        <v>20.058216857</v>
      </c>
      <c r="G2" s="2" t="n">
        <v>37.047842215</v>
      </c>
      <c r="H2" s="2" t="n">
        <v>48513</v>
      </c>
      <c r="I2" s="2" t="n">
        <v>212686</v>
      </c>
    </row>
    <row r="3">
      <c r="A3" s="2" t="inlineStr">
        <is>
          <t>Sample_2</t>
        </is>
      </c>
      <c r="B3" s="2" t="inlineStr">
        <is>
          <t>uORF2 ATG retained</t>
        </is>
      </c>
      <c r="C3" s="2" t="n">
        <v>20435</v>
      </c>
      <c r="D3" s="2" t="n">
        <v>316985</v>
      </c>
      <c r="E3" s="2" t="n">
        <v>14.19308705744129</v>
      </c>
      <c r="F3" s="2" t="n">
        <v>7.684464194</v>
      </c>
      <c r="G3" s="2" t="n">
        <v>14.193495267</v>
      </c>
      <c r="H3" s="2" t="n">
        <v>19099</v>
      </c>
      <c r="I3" s="2" t="n">
        <v>212686</v>
      </c>
    </row>
    <row r="4">
      <c r="A4" s="2" t="inlineStr">
        <is>
          <t>Sample_2</t>
        </is>
      </c>
      <c r="B4" s="2" t="inlineStr">
        <is>
          <t>uORF3 ATG retained</t>
        </is>
      </c>
      <c r="C4" s="2" t="n">
        <v>3702</v>
      </c>
      <c r="D4" s="2" t="n">
        <v>22558</v>
      </c>
      <c r="E4" s="2" t="n">
        <v>1.010040405198229</v>
      </c>
      <c r="F4" s="2" t="n">
        <v>0.546768264</v>
      </c>
      <c r="G4" s="2" t="n">
        <v>1.010127065</v>
      </c>
      <c r="H4" s="2" t="n">
        <v>3342</v>
      </c>
      <c r="I4" s="2" t="n">
        <v>212686</v>
      </c>
    </row>
    <row r="5">
      <c r="A5" s="2" t="inlineStr">
        <is>
          <t>Sample_2</t>
        </is>
      </c>
      <c r="B5" s="2" t="inlineStr">
        <is>
          <t>uORF4 ATG retained</t>
        </is>
      </c>
      <c r="C5" s="2" t="n">
        <v>496</v>
      </c>
      <c r="D5" s="2" t="n">
        <v>1511</v>
      </c>
      <c r="E5" s="2" t="n">
        <v>0.0676554238963793</v>
      </c>
      <c r="F5" s="2" t="n">
        <v>0.036615456</v>
      </c>
      <c r="G5" s="2" t="n">
        <v>0.067667422</v>
      </c>
      <c r="H5" s="2" t="n">
        <v>420</v>
      </c>
      <c r="I5" s="2" t="n">
        <v>212686</v>
      </c>
    </row>
    <row r="6">
      <c r="A6" s="2" t="inlineStr">
        <is>
          <t>Sample_2</t>
        </is>
      </c>
      <c r="B6" s="2" t="inlineStr">
        <is>
          <t>uORF5 ATG retained</t>
        </is>
      </c>
      <c r="C6" s="2" t="n">
        <v>1516</v>
      </c>
      <c r="D6" s="2" t="n">
        <v>6715</v>
      </c>
      <c r="E6" s="2" t="n">
        <v>0.300665897726133</v>
      </c>
      <c r="F6" s="2" t="n">
        <v>0.162746174</v>
      </c>
      <c r="G6" s="2" t="n">
        <v>0.300701672</v>
      </c>
      <c r="H6" s="2" t="n">
        <v>870</v>
      </c>
      <c r="I6" s="2" t="n">
        <v>212686</v>
      </c>
    </row>
    <row r="7">
      <c r="A7" s="2" t="inlineStr">
        <is>
          <t>Sample_2</t>
        </is>
      </c>
      <c r="B7" s="2" t="inlineStr">
        <is>
          <t>Main DAL2 ATG retained</t>
        </is>
      </c>
      <c r="C7" s="2" t="n">
        <v>14914</v>
      </c>
      <c r="D7" s="2" t="n">
        <v>123563</v>
      </c>
      <c r="E7" s="2" t="n">
        <v>5.532565945008812</v>
      </c>
      <c r="F7" s="2" t="n">
        <v>2.995240245000001</v>
      </c>
      <c r="G7" s="2" t="n">
        <v>5.532875899</v>
      </c>
      <c r="H7" s="2" t="n">
        <v>13185</v>
      </c>
      <c r="I7" s="2" t="n">
        <v>212686</v>
      </c>
    </row>
    <row r="8">
      <c r="A8" s="2" t="inlineStr">
        <is>
          <t>Sample_2</t>
        </is>
      </c>
      <c r="B8" s="2" t="inlineStr">
        <is>
          <t>Internal ATG A retained</t>
        </is>
      </c>
      <c r="C8" s="2" t="n">
        <v>6110</v>
      </c>
      <c r="D8" s="2" t="n">
        <v>41400</v>
      </c>
      <c r="E8" s="2" t="n">
        <v>1.8536959293912</v>
      </c>
      <c r="F8" s="2" t="n">
        <v>1.003525499</v>
      </c>
      <c r="G8" s="2" t="n">
        <v>1.853829457</v>
      </c>
      <c r="H8" s="2" t="n">
        <v>5134</v>
      </c>
      <c r="I8" s="2" t="n">
        <v>212686</v>
      </c>
    </row>
    <row r="9">
      <c r="A9" s="2" t="inlineStr">
        <is>
          <t>Sample_2</t>
        </is>
      </c>
      <c r="B9" s="2" t="inlineStr">
        <is>
          <t>Internal ATG B retained</t>
        </is>
      </c>
      <c r="C9" s="2" t="n">
        <v>39165</v>
      </c>
      <c r="D9" s="2" t="n">
        <v>426648</v>
      </c>
      <c r="E9" s="2" t="n">
        <v>19.10327683292021</v>
      </c>
      <c r="F9" s="2" t="n">
        <v>10.342689639</v>
      </c>
      <c r="G9" s="2" t="n">
        <v>19.104040203</v>
      </c>
      <c r="H9" s="2" t="n">
        <v>35346</v>
      </c>
      <c r="I9" s="2" t="n">
        <v>212686</v>
      </c>
    </row>
    <row r="10">
      <c r="A10" s="2" t="inlineStr">
        <is>
          <t>Sample_2</t>
        </is>
      </c>
      <c r="B10" s="2" t="inlineStr">
        <is>
          <t>No intact annotated start observed</t>
        </is>
      </c>
      <c r="C10" s="2" t="n">
        <v>59172</v>
      </c>
      <c r="D10" s="2" t="n">
        <v>331321</v>
      </c>
      <c r="E10" s="2" t="n">
        <v>14.83498524207299</v>
      </c>
      <c r="F10" s="2" t="n">
        <v>8.030929414000001</v>
      </c>
      <c r="G10" s="2" t="n">
        <v>14.836269871</v>
      </c>
      <c r="H10" s="2" t="n">
        <v>40039</v>
      </c>
      <c r="I10" s="2" t="n">
        <v>212686</v>
      </c>
    </row>
    <row r="11">
      <c r="A11" s="2" t="inlineStr">
        <is>
          <t>Sample_2</t>
        </is>
      </c>
      <c r="B11" s="2" t="inlineStr">
        <is>
          <t>Uncertain / altered or incompletely covered start</t>
        </is>
      </c>
      <c r="C11" s="2" t="n">
        <v>18659</v>
      </c>
      <c r="D11" s="2" t="n">
        <v>135279</v>
      </c>
      <c r="E11" s="2" t="n">
        <v>6.057152937973722</v>
      </c>
      <c r="F11" s="2" t="n">
        <v>3.279158420000001</v>
      </c>
      <c r="G11" s="2" t="n">
        <v>6.057575400000001</v>
      </c>
      <c r="H11" s="2" t="n">
        <v>14182</v>
      </c>
      <c r="I11" s="2" t="n">
        <v>212686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inlineStr">
        <is>
          <t>TOTAL supporting reads</t>
        </is>
      </c>
      <c r="C13" s="2" t="n"/>
      <c r="D13" s="2">
        <f>SUM(D2:D11)</f>
        <v/>
      </c>
      <c r="E13" s="2" t="n"/>
      <c r="F13" s="2" t="n"/>
      <c r="G13" s="2" t="n"/>
      <c r="H13" s="2" t="n"/>
      <c r="I13" s="2" t="n"/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45" customHeight="1">
      <c r="A1" s="1" t="inlineStr">
        <is>
          <t>sample</t>
        </is>
      </c>
      <c r="B1" s="1" t="inlineStr">
        <is>
          <t>retained_start_group</t>
        </is>
      </c>
      <c r="C1" s="1" t="inlineStr">
        <is>
          <t>amplicon_clusters</t>
        </is>
      </c>
      <c r="D1" s="1" t="inlineStr">
        <is>
          <t>supporting_reads</t>
        </is>
      </c>
      <c r="E1" s="1" t="inlineStr">
        <is>
          <t>percent_of_imported_supporting_reads</t>
        </is>
      </c>
      <c r="F1" s="1" t="inlineStr">
        <is>
          <t>percent_quality_filtered_from_input</t>
        </is>
      </c>
      <c r="G1" s="1" t="inlineStr">
        <is>
          <t>percent_assigned_from_input</t>
        </is>
      </c>
      <c r="H1" s="1" t="inlineStr">
        <is>
          <t>clusters_with_unaligned_5prime_extension</t>
        </is>
      </c>
      <c r="I1" s="1" t="inlineStr">
        <is>
          <t>imported_clusters_in_sample</t>
        </is>
      </c>
    </row>
    <row r="2">
      <c r="A2" s="2" t="inlineStr">
        <is>
          <t>Sample_3</t>
        </is>
      </c>
      <c r="B2" s="2" t="inlineStr">
        <is>
          <t>uORF1 ATG retained</t>
        </is>
      </c>
      <c r="C2" s="2" t="n">
        <v>46340</v>
      </c>
      <c r="D2" s="2" t="n">
        <v>715649</v>
      </c>
      <c r="E2" s="2" t="n">
        <v>35.22000414382519</v>
      </c>
      <c r="F2" s="2" t="n">
        <v>18.771124355</v>
      </c>
      <c r="G2" s="2" t="n">
        <v>35.219470945</v>
      </c>
      <c r="H2" s="2" t="n">
        <v>46338</v>
      </c>
      <c r="I2" s="2" t="n">
        <v>213754</v>
      </c>
    </row>
    <row r="3">
      <c r="A3" s="2" t="inlineStr">
        <is>
          <t>Sample_3</t>
        </is>
      </c>
      <c r="B3" s="2" t="inlineStr">
        <is>
          <t>uORF2 ATG retained</t>
        </is>
      </c>
      <c r="C3" s="2" t="n">
        <v>20029</v>
      </c>
      <c r="D3" s="2" t="n">
        <v>254360</v>
      </c>
      <c r="E3" s="2" t="n">
        <v>12.51809232462195</v>
      </c>
      <c r="F3" s="2" t="n">
        <v>6.671678615999999</v>
      </c>
      <c r="G3" s="2" t="n">
        <v>12.517861765</v>
      </c>
      <c r="H3" s="2" t="n">
        <v>18911</v>
      </c>
      <c r="I3" s="2" t="n">
        <v>213754</v>
      </c>
    </row>
    <row r="4">
      <c r="A4" s="2" t="inlineStr">
        <is>
          <t>Sample_3</t>
        </is>
      </c>
      <c r="B4" s="2" t="inlineStr">
        <is>
          <t>uORF3 ATG retained</t>
        </is>
      </c>
      <c r="C4" s="2" t="n">
        <v>3100</v>
      </c>
      <c r="D4" s="2" t="n">
        <v>18655</v>
      </c>
      <c r="E4" s="2" t="n">
        <v>0.9180885843521878</v>
      </c>
      <c r="F4" s="2" t="n">
        <v>0.4892654450000001</v>
      </c>
      <c r="G4" s="2" t="n">
        <v>0.9180471299999999</v>
      </c>
      <c r="H4" s="2" t="n">
        <v>2773</v>
      </c>
      <c r="I4" s="2" t="n">
        <v>213754</v>
      </c>
    </row>
    <row r="5">
      <c r="A5" s="2" t="inlineStr">
        <is>
          <t>Sample_3</t>
        </is>
      </c>
      <c r="B5" s="2" t="inlineStr">
        <is>
          <t>uORF4 ATG retained</t>
        </is>
      </c>
      <c r="C5" s="2" t="n">
        <v>391</v>
      </c>
      <c r="D5" s="2" t="n">
        <v>1766</v>
      </c>
      <c r="E5" s="2" t="n">
        <v>0.08691205789150167</v>
      </c>
      <c r="F5" s="2" t="n">
        <v>0.04631376499999999</v>
      </c>
      <c r="G5" s="2" t="n">
        <v>0.08690680599999999</v>
      </c>
      <c r="H5" s="2" t="n">
        <v>344</v>
      </c>
      <c r="I5" s="2" t="n">
        <v>213754</v>
      </c>
    </row>
    <row r="6">
      <c r="A6" s="2" t="inlineStr">
        <is>
          <t>Sample_3</t>
        </is>
      </c>
      <c r="B6" s="2" t="inlineStr">
        <is>
          <t>uORF5 ATG retained</t>
        </is>
      </c>
      <c r="C6" s="2" t="n">
        <v>1177</v>
      </c>
      <c r="D6" s="2" t="n">
        <v>5237</v>
      </c>
      <c r="E6" s="2" t="n">
        <v>0.2577341150497136</v>
      </c>
      <c r="F6" s="2" t="n">
        <v>0.137344664</v>
      </c>
      <c r="G6" s="2" t="n">
        <v>0.257718342</v>
      </c>
      <c r="H6" s="2" t="n">
        <v>663</v>
      </c>
      <c r="I6" s="2" t="n">
        <v>213754</v>
      </c>
    </row>
    <row r="7">
      <c r="A7" s="2" t="inlineStr">
        <is>
          <t>Sample_3</t>
        </is>
      </c>
      <c r="B7" s="2" t="inlineStr">
        <is>
          <t>Main DAL2 ATG retained</t>
        </is>
      </c>
      <c r="C7" s="2" t="n">
        <v>13640</v>
      </c>
      <c r="D7" s="2" t="n">
        <v>103710</v>
      </c>
      <c r="E7" s="2" t="n">
        <v>5.103991802903532</v>
      </c>
      <c r="F7" s="2" t="n">
        <v>2.720126441</v>
      </c>
      <c r="G7" s="2" t="n">
        <v>5.10382818</v>
      </c>
      <c r="H7" s="2" t="n">
        <v>12173</v>
      </c>
      <c r="I7" s="2" t="n">
        <v>213754</v>
      </c>
    </row>
    <row r="8">
      <c r="A8" s="2" t="inlineStr">
        <is>
          <t>Sample_3</t>
        </is>
      </c>
      <c r="B8" s="2" t="inlineStr">
        <is>
          <t>Internal ATG A retained</t>
        </is>
      </c>
      <c r="C8" s="2" t="n">
        <v>5573</v>
      </c>
      <c r="D8" s="2" t="n">
        <v>34438</v>
      </c>
      <c r="E8" s="2" t="n">
        <v>1.694834342960099</v>
      </c>
      <c r="F8" s="2" t="n">
        <v>0.9032315670000001</v>
      </c>
      <c r="G8" s="2" t="n">
        <v>1.694764847</v>
      </c>
      <c r="H8" s="2" t="n">
        <v>4672</v>
      </c>
      <c r="I8" s="2" t="n">
        <v>213754</v>
      </c>
    </row>
    <row r="9">
      <c r="A9" s="2" t="inlineStr">
        <is>
          <t>Sample_3</t>
        </is>
      </c>
      <c r="B9" s="2" t="inlineStr">
        <is>
          <t>Internal ATG B retained</t>
        </is>
      </c>
      <c r="C9" s="2" t="n">
        <v>38260</v>
      </c>
      <c r="D9" s="2" t="n">
        <v>407076</v>
      </c>
      <c r="E9" s="2" t="n">
        <v>20.03386912697675</v>
      </c>
      <c r="F9" s="2" t="n">
        <v>10.677293043</v>
      </c>
      <c r="G9" s="2" t="n">
        <v>20.033447189</v>
      </c>
      <c r="H9" s="2" t="n">
        <v>35004</v>
      </c>
      <c r="I9" s="2" t="n">
        <v>213754</v>
      </c>
    </row>
    <row r="10">
      <c r="A10" s="2" t="inlineStr">
        <is>
          <t>Sample_3</t>
        </is>
      </c>
      <c r="B10" s="2" t="inlineStr">
        <is>
          <t>No intact annotated start observed</t>
        </is>
      </c>
      <c r="C10" s="2" t="n">
        <v>68487</v>
      </c>
      <c r="D10" s="2" t="n">
        <v>385450</v>
      </c>
      <c r="E10" s="2" t="n">
        <v>18.96956552337447</v>
      </c>
      <c r="F10" s="2" t="n">
        <v>10.109571027</v>
      </c>
      <c r="G10" s="2" t="n">
        <v>18.968724015</v>
      </c>
      <c r="H10" s="2" t="n">
        <v>44293</v>
      </c>
      <c r="I10" s="2" t="n">
        <v>213754</v>
      </c>
    </row>
    <row r="11">
      <c r="A11" s="2" t="inlineStr">
        <is>
          <t>Sample_3</t>
        </is>
      </c>
      <c r="B11" s="2" t="inlineStr">
        <is>
          <t>Uncertain / altered or incompletely covered start</t>
        </is>
      </c>
      <c r="C11" s="2" t="n">
        <v>16757</v>
      </c>
      <c r="D11" s="2" t="n">
        <v>105598</v>
      </c>
      <c r="E11" s="2" t="n">
        <v>5.196907978044616</v>
      </c>
      <c r="F11" s="2" t="n">
        <v>2.769609037</v>
      </c>
      <c r="G11" s="2" t="n">
        <v>5.196689055</v>
      </c>
      <c r="H11" s="2" t="n">
        <v>12814</v>
      </c>
      <c r="I11" s="2" t="n">
        <v>213754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inlineStr">
        <is>
          <t>TOTAL supporting reads</t>
        </is>
      </c>
      <c r="C13" s="2" t="n"/>
      <c r="D13" s="2">
        <f>SUM(D2:D11)</f>
        <v/>
      </c>
      <c r="E13" s="2" t="n"/>
      <c r="F13" s="2" t="n"/>
      <c r="G13" s="2" t="n"/>
      <c r="H13" s="2" t="n"/>
      <c r="I13" s="2" t="n"/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45" customHeight="1">
      <c r="A1" s="1" t="inlineStr">
        <is>
          <t>Retained-start group</t>
        </is>
      </c>
      <c r="B1" s="1" t="inlineStr">
        <is>
          <t>WT reads</t>
        </is>
      </c>
      <c r="C1" s="1" t="inlineStr">
        <is>
          <t>upf1Δ reads</t>
        </is>
      </c>
      <c r="D1" s="1" t="inlineStr">
        <is>
          <t>upf3Δ reads</t>
        </is>
      </c>
      <c r="E1" s="1" t="inlineStr">
        <is>
          <t>WT %</t>
        </is>
      </c>
      <c r="F1" s="1" t="inlineStr">
        <is>
          <t>upf1Δ %</t>
        </is>
      </c>
      <c r="G1" s="1" t="inlineStr">
        <is>
          <t>upf3Δ %</t>
        </is>
      </c>
      <c r="H1" s="1" t="inlineStr">
        <is>
          <t>upf1Δ / WT fold</t>
        </is>
      </c>
      <c r="I1" s="1" t="inlineStr">
        <is>
          <t>upf3Δ / WT fold</t>
        </is>
      </c>
      <c r="J1" s="1" t="inlineStr">
        <is>
          <t>upf1Δ − WT percentage points</t>
        </is>
      </c>
      <c r="K1" s="1" t="inlineStr">
        <is>
          <t>upf3Δ − WT percentage points</t>
        </is>
      </c>
    </row>
    <row r="2">
      <c r="A2" s="2" t="inlineStr">
        <is>
          <t>uORF1 ATG retained</t>
        </is>
      </c>
      <c r="B2" s="3" t="n">
        <v>210365</v>
      </c>
      <c r="C2" s="3" t="n">
        <v>827396</v>
      </c>
      <c r="D2" s="3" t="n">
        <v>715649</v>
      </c>
      <c r="E2" s="4" t="n">
        <v>20.10199830289502</v>
      </c>
      <c r="F2" s="4" t="n">
        <v>37.04687432837104</v>
      </c>
      <c r="G2" s="4" t="n">
        <v>35.22000414382519</v>
      </c>
      <c r="H2" s="4" t="n">
        <v>1.84294485404646</v>
      </c>
      <c r="I2" s="4" t="n">
        <v>1.752064825254359</v>
      </c>
      <c r="J2" s="4" t="n">
        <v>16.94487602547602</v>
      </c>
      <c r="K2" s="4" t="n">
        <v>15.11800584093017</v>
      </c>
    </row>
    <row r="3">
      <c r="A3" s="2" t="inlineStr">
        <is>
          <t>uORF2 ATG retained</t>
        </is>
      </c>
      <c r="B3" s="3" t="n">
        <v>64049</v>
      </c>
      <c r="C3" s="3" t="n">
        <v>316985</v>
      </c>
      <c r="D3" s="3" t="n">
        <v>254360</v>
      </c>
      <c r="E3" s="4" t="n">
        <v>6.12037596226617</v>
      </c>
      <c r="F3" s="4" t="n">
        <v>14.19308705744129</v>
      </c>
      <c r="G3" s="4" t="n">
        <v>12.51809232462195</v>
      </c>
      <c r="H3" s="4" t="n">
        <v>2.318989412569692</v>
      </c>
      <c r="I3" s="4" t="n">
        <v>2.045314275103276</v>
      </c>
      <c r="J3" s="4" t="n">
        <v>8.072711095175119</v>
      </c>
      <c r="K3" s="4" t="n">
        <v>6.397716362355779</v>
      </c>
    </row>
    <row r="4">
      <c r="A4" s="2" t="inlineStr">
        <is>
          <t>uORF3 ATG retained</t>
        </is>
      </c>
      <c r="B4" s="3" t="n">
        <v>4540</v>
      </c>
      <c r="C4" s="3" t="n">
        <v>22558</v>
      </c>
      <c r="D4" s="3" t="n">
        <v>18655</v>
      </c>
      <c r="E4" s="4" t="n">
        <v>0.4338320171850991</v>
      </c>
      <c r="F4" s="4" t="n">
        <v>1.010040405198229</v>
      </c>
      <c r="G4" s="4" t="n">
        <v>0.9180885843521878</v>
      </c>
      <c r="H4" s="4" t="n">
        <v>2.32818317963675</v>
      </c>
      <c r="I4" s="4" t="n">
        <v>2.116230586919718</v>
      </c>
      <c r="J4" s="4" t="n">
        <v>0.5762083880131299</v>
      </c>
      <c r="K4" s="4" t="n">
        <v>0.4842565671670885</v>
      </c>
    </row>
    <row r="5">
      <c r="A5" s="2" t="inlineStr">
        <is>
          <t>uORF4 ATG retained</t>
        </is>
      </c>
      <c r="B5" s="3" t="n">
        <v>800</v>
      </c>
      <c r="C5" s="3" t="n">
        <v>1511</v>
      </c>
      <c r="D5" s="3" t="n">
        <v>1766</v>
      </c>
      <c r="E5" s="4" t="n">
        <v>0.07644617042909235</v>
      </c>
      <c r="F5" s="4" t="n">
        <v>0.0676554238963793</v>
      </c>
      <c r="G5" s="4" t="n">
        <v>0.08691205789150167</v>
      </c>
      <c r="H5" s="4" t="n">
        <v>0.8850073655309272</v>
      </c>
      <c r="I5" s="4" t="n">
        <v>1.136905320484522</v>
      </c>
      <c r="J5" s="4" t="n">
        <v>-0.008790746532713058</v>
      </c>
      <c r="K5" s="4" t="n">
        <v>0.01046588746240931</v>
      </c>
    </row>
    <row r="6">
      <c r="A6" s="2" t="inlineStr">
        <is>
          <t>uORF5 ATG retained</t>
        </is>
      </c>
      <c r="B6" s="3" t="n">
        <v>2498</v>
      </c>
      <c r="C6" s="3" t="n">
        <v>6715</v>
      </c>
      <c r="D6" s="3" t="n">
        <v>5237</v>
      </c>
      <c r="E6" s="4" t="n">
        <v>0.2387031671648409</v>
      </c>
      <c r="F6" s="4" t="n">
        <v>0.3006658977261329</v>
      </c>
      <c r="G6" s="4" t="n">
        <v>0.2577341150497136</v>
      </c>
      <c r="H6" s="4" t="n">
        <v>1.259580680462872</v>
      </c>
      <c r="I6" s="4" t="n">
        <v>1.079726415492973</v>
      </c>
      <c r="J6" s="4" t="n">
        <v>0.0619627305612921</v>
      </c>
      <c r="K6" s="4" t="n">
        <v>0.01903094788487272</v>
      </c>
    </row>
    <row r="7">
      <c r="A7" s="2" t="inlineStr">
        <is>
          <t>Main DAL2 ATG retained</t>
        </is>
      </c>
      <c r="B7" s="3" t="n">
        <v>141776</v>
      </c>
      <c r="C7" s="3" t="n">
        <v>123563</v>
      </c>
      <c r="D7" s="3" t="n">
        <v>103710</v>
      </c>
      <c r="E7" s="4" t="n">
        <v>13.54779032344375</v>
      </c>
      <c r="F7" s="4" t="n">
        <v>5.532565945008812</v>
      </c>
      <c r="G7" s="4" t="n">
        <v>5.103991802903532</v>
      </c>
      <c r="H7" s="4" t="n">
        <v>0.4083740457242679</v>
      </c>
      <c r="I7" s="4" t="n">
        <v>0.3767397989671673</v>
      </c>
      <c r="J7" s="4" t="n">
        <v>-8.015224378434937</v>
      </c>
      <c r="K7" s="4" t="n">
        <v>-8.443798520540216</v>
      </c>
    </row>
    <row r="8">
      <c r="A8" s="2" t="inlineStr">
        <is>
          <t>Internal ATG A retained</t>
        </is>
      </c>
      <c r="B8" s="3" t="n">
        <v>16830</v>
      </c>
      <c r="C8" s="3" t="n">
        <v>41400</v>
      </c>
      <c r="D8" s="3" t="n">
        <v>34438</v>
      </c>
      <c r="E8" s="4" t="n">
        <v>1.608236310402031</v>
      </c>
      <c r="F8" s="4" t="n">
        <v>1.8536959293912</v>
      </c>
      <c r="G8" s="4" t="n">
        <v>1.694834342960099</v>
      </c>
      <c r="H8" s="4" t="n">
        <v>1.152626586902399</v>
      </c>
      <c r="I8" s="4" t="n">
        <v>1.053846584608216</v>
      </c>
      <c r="J8" s="4" t="n">
        <v>0.2454596189891692</v>
      </c>
      <c r="K8" s="4" t="n">
        <v>0.08659803255806828</v>
      </c>
    </row>
    <row r="9">
      <c r="A9" s="2" t="inlineStr">
        <is>
          <t>Internal ATG B retained</t>
        </is>
      </c>
      <c r="B9" s="3" t="n">
        <v>258794</v>
      </c>
      <c r="C9" s="3" t="n">
        <v>426648</v>
      </c>
      <c r="D9" s="3" t="n">
        <v>407076</v>
      </c>
      <c r="E9" s="4" t="n">
        <v>24.72976278753316</v>
      </c>
      <c r="F9" s="4" t="n">
        <v>19.10327683292021</v>
      </c>
      <c r="G9" s="4" t="n">
        <v>20.03386912697674</v>
      </c>
      <c r="H9" s="4" t="n">
        <v>0.7724811999632527</v>
      </c>
      <c r="I9" s="4" t="n">
        <v>0.8101116577258993</v>
      </c>
      <c r="J9" s="4" t="n">
        <v>-5.62648595461295</v>
      </c>
      <c r="K9" s="4" t="n">
        <v>-4.695893660556413</v>
      </c>
    </row>
    <row r="10">
      <c r="A10" s="2" t="inlineStr">
        <is>
          <t>No intact annotated start observed</t>
        </is>
      </c>
      <c r="B10" s="3" t="n">
        <v>273560</v>
      </c>
      <c r="C10" s="3" t="n">
        <v>331321</v>
      </c>
      <c r="D10" s="3" t="n">
        <v>385450</v>
      </c>
      <c r="E10" s="4" t="n">
        <v>26.14076797822813</v>
      </c>
      <c r="F10" s="4" t="n">
        <v>14.83498524207299</v>
      </c>
      <c r="G10" s="4" t="n">
        <v>18.96956552337447</v>
      </c>
      <c r="H10" s="4" t="n">
        <v>0.5675038030416171</v>
      </c>
      <c r="I10" s="4" t="n">
        <v>0.7256697867168118</v>
      </c>
      <c r="J10" s="4" t="n">
        <v>-11.30578273615514</v>
      </c>
      <c r="K10" s="4" t="n">
        <v>-7.171202454853659</v>
      </c>
    </row>
    <row r="11">
      <c r="A11" s="2" t="inlineStr">
        <is>
          <t>Uncertain / altered or incompletely covered start</t>
        </is>
      </c>
      <c r="B11" s="3" t="n">
        <v>73276</v>
      </c>
      <c r="C11" s="3" t="n">
        <v>135279</v>
      </c>
      <c r="D11" s="3" t="n">
        <v>105598</v>
      </c>
      <c r="E11" s="4" t="n">
        <v>7.002086980452714</v>
      </c>
      <c r="F11" s="4" t="n">
        <v>6.057152937973722</v>
      </c>
      <c r="G11" s="4" t="n">
        <v>5.196907978044616</v>
      </c>
      <c r="H11" s="4" t="n">
        <v>0.865049656607108</v>
      </c>
      <c r="I11" s="4" t="n">
        <v>0.7421941476237724</v>
      </c>
      <c r="J11" s="4" t="n">
        <v>-0.9449340424789919</v>
      </c>
      <c r="K11" s="4" t="n">
        <v>-1.805179002408097</v>
      </c>
    </row>
    <row r="12">
      <c r="A12" s="2" t="inlineStr">
        <is>
          <t>Combined uORF1–5</t>
        </is>
      </c>
      <c r="B12" s="3" t="n">
        <v>282252</v>
      </c>
      <c r="C12" s="3" t="n">
        <v>1175165</v>
      </c>
      <c r="D12" s="3" t="n">
        <v>995667</v>
      </c>
      <c r="E12" s="4" t="n">
        <v>26.97135561994022</v>
      </c>
      <c r="F12" s="4" t="n">
        <v>52.61832311263307</v>
      </c>
      <c r="G12" s="4" t="n">
        <v>49.00083122574054</v>
      </c>
      <c r="H12" s="4" t="n">
        <v>1.950896493824425</v>
      </c>
      <c r="I12" s="4" t="n">
        <v>1.816773020838214</v>
      </c>
      <c r="J12" s="4" t="n">
        <v>25.64696749269285</v>
      </c>
      <c r="K12" s="4" t="n">
        <v>22.02947560580032</v>
      </c>
    </row>
  </sheetData>
  <autoFilter ref="A1:K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45" customHeight="1">
      <c r="A1" s="1" t="inlineStr">
        <is>
          <t>Retained-start group</t>
        </is>
      </c>
      <c r="B1" s="1" t="inlineStr">
        <is>
          <t>WT reads</t>
        </is>
      </c>
      <c r="C1" s="1" t="inlineStr">
        <is>
          <t>upf1Δ reads</t>
        </is>
      </c>
      <c r="D1" s="1" t="inlineStr">
        <is>
          <t>upf3Δ reads</t>
        </is>
      </c>
      <c r="E1" s="1" t="inlineStr">
        <is>
          <t>WT %</t>
        </is>
      </c>
      <c r="F1" s="1" t="inlineStr">
        <is>
          <t>upf1Δ %</t>
        </is>
      </c>
      <c r="G1" s="1" t="inlineStr">
        <is>
          <t>upf3Δ %</t>
        </is>
      </c>
      <c r="H1" s="1" t="inlineStr">
        <is>
          <t>upf1Δ / WT fold</t>
        </is>
      </c>
      <c r="I1" s="1" t="inlineStr">
        <is>
          <t>upf3Δ / WT fold</t>
        </is>
      </c>
      <c r="J1" s="1" t="inlineStr">
        <is>
          <t>upf1Δ − WT percentage points</t>
        </is>
      </c>
      <c r="K1" s="1" t="inlineStr">
        <is>
          <t>upf3Δ − WT percentage points</t>
        </is>
      </c>
    </row>
    <row r="2">
      <c r="A2" s="2" t="inlineStr">
        <is>
          <t>uORF1 ATG retained</t>
        </is>
      </c>
      <c r="B2" s="3">
        <f>'WT source'!D2</f>
        <v/>
      </c>
      <c r="C2" s="3">
        <f>'upf1 source'!D2</f>
        <v/>
      </c>
      <c r="D2" s="3">
        <f>'upf3 source'!D2</f>
        <v/>
      </c>
      <c r="E2" s="4">
        <f>100*B2/'WT source'!$D$13</f>
        <v/>
      </c>
      <c r="F2" s="4">
        <f>100*C2/'upf1 source'!$D$13</f>
        <v/>
      </c>
      <c r="G2" s="4">
        <f>100*D2/'upf3 source'!$D$13</f>
        <v/>
      </c>
      <c r="H2" s="4">
        <f>F2/E2</f>
        <v/>
      </c>
      <c r="I2" s="4">
        <f>G2/E2</f>
        <v/>
      </c>
      <c r="J2" s="4">
        <f>F2-E2</f>
        <v/>
      </c>
      <c r="K2" s="4">
        <f>G2-E2</f>
        <v/>
      </c>
    </row>
    <row r="3">
      <c r="A3" s="2" t="inlineStr">
        <is>
          <t>uORF2 ATG retained</t>
        </is>
      </c>
      <c r="B3" s="3">
        <f>'WT source'!D3</f>
        <v/>
      </c>
      <c r="C3" s="3">
        <f>'upf1 source'!D3</f>
        <v/>
      </c>
      <c r="D3" s="3">
        <f>'upf3 source'!D3</f>
        <v/>
      </c>
      <c r="E3" s="4">
        <f>100*B3/'WT source'!$D$13</f>
        <v/>
      </c>
      <c r="F3" s="4">
        <f>100*C3/'upf1 source'!$D$13</f>
        <v/>
      </c>
      <c r="G3" s="4">
        <f>100*D3/'upf3 source'!$D$13</f>
        <v/>
      </c>
      <c r="H3" s="4">
        <f>F3/E3</f>
        <v/>
      </c>
      <c r="I3" s="4">
        <f>G3/E3</f>
        <v/>
      </c>
      <c r="J3" s="4">
        <f>F3-E3</f>
        <v/>
      </c>
      <c r="K3" s="4">
        <f>G3-E3</f>
        <v/>
      </c>
    </row>
    <row r="4">
      <c r="A4" s="2" t="inlineStr">
        <is>
          <t>uORF3 ATG retained</t>
        </is>
      </c>
      <c r="B4" s="3">
        <f>'WT source'!D4</f>
        <v/>
      </c>
      <c r="C4" s="3">
        <f>'upf1 source'!D4</f>
        <v/>
      </c>
      <c r="D4" s="3">
        <f>'upf3 source'!D4</f>
        <v/>
      </c>
      <c r="E4" s="4">
        <f>100*B4/'WT source'!$D$13</f>
        <v/>
      </c>
      <c r="F4" s="4">
        <f>100*C4/'upf1 source'!$D$13</f>
        <v/>
      </c>
      <c r="G4" s="4">
        <f>100*D4/'upf3 source'!$D$13</f>
        <v/>
      </c>
      <c r="H4" s="4">
        <f>F4/E4</f>
        <v/>
      </c>
      <c r="I4" s="4">
        <f>G4/E4</f>
        <v/>
      </c>
      <c r="J4" s="4">
        <f>F4-E4</f>
        <v/>
      </c>
      <c r="K4" s="4">
        <f>G4-E4</f>
        <v/>
      </c>
    </row>
    <row r="5">
      <c r="A5" s="2" t="inlineStr">
        <is>
          <t>uORF4 ATG retained</t>
        </is>
      </c>
      <c r="B5" s="3">
        <f>'WT source'!D5</f>
        <v/>
      </c>
      <c r="C5" s="3">
        <f>'upf1 source'!D5</f>
        <v/>
      </c>
      <c r="D5" s="3">
        <f>'upf3 source'!D5</f>
        <v/>
      </c>
      <c r="E5" s="4">
        <f>100*B5/'WT source'!$D$13</f>
        <v/>
      </c>
      <c r="F5" s="4">
        <f>100*C5/'upf1 source'!$D$13</f>
        <v/>
      </c>
      <c r="G5" s="4">
        <f>100*D5/'upf3 source'!$D$13</f>
        <v/>
      </c>
      <c r="H5" s="4">
        <f>F5/E5</f>
        <v/>
      </c>
      <c r="I5" s="4">
        <f>G5/E5</f>
        <v/>
      </c>
      <c r="J5" s="4">
        <f>F5-E5</f>
        <v/>
      </c>
      <c r="K5" s="4">
        <f>G5-E5</f>
        <v/>
      </c>
    </row>
    <row r="6">
      <c r="A6" s="2" t="inlineStr">
        <is>
          <t>uORF5 ATG retained</t>
        </is>
      </c>
      <c r="B6" s="3">
        <f>'WT source'!D6</f>
        <v/>
      </c>
      <c r="C6" s="3">
        <f>'upf1 source'!D6</f>
        <v/>
      </c>
      <c r="D6" s="3">
        <f>'upf3 source'!D6</f>
        <v/>
      </c>
      <c r="E6" s="4">
        <f>100*B6/'WT source'!$D$13</f>
        <v/>
      </c>
      <c r="F6" s="4">
        <f>100*C6/'upf1 source'!$D$13</f>
        <v/>
      </c>
      <c r="G6" s="4">
        <f>100*D6/'upf3 source'!$D$13</f>
        <v/>
      </c>
      <c r="H6" s="4">
        <f>F6/E6</f>
        <v/>
      </c>
      <c r="I6" s="4">
        <f>G6/E6</f>
        <v/>
      </c>
      <c r="J6" s="4">
        <f>F6-E6</f>
        <v/>
      </c>
      <c r="K6" s="4">
        <f>G6-E6</f>
        <v/>
      </c>
    </row>
    <row r="7">
      <c r="A7" s="2" t="inlineStr">
        <is>
          <t>Main DAL2 ATG retained</t>
        </is>
      </c>
      <c r="B7" s="3">
        <f>'WT source'!D7</f>
        <v/>
      </c>
      <c r="C7" s="3">
        <f>'upf1 source'!D7</f>
        <v/>
      </c>
      <c r="D7" s="3">
        <f>'upf3 source'!D7</f>
        <v/>
      </c>
      <c r="E7" s="4">
        <f>100*B7/'WT source'!$D$13</f>
        <v/>
      </c>
      <c r="F7" s="4">
        <f>100*C7/'upf1 source'!$D$13</f>
        <v/>
      </c>
      <c r="G7" s="4">
        <f>100*D7/'upf3 source'!$D$13</f>
        <v/>
      </c>
      <c r="H7" s="4">
        <f>F7/E7</f>
        <v/>
      </c>
      <c r="I7" s="4">
        <f>G7/E7</f>
        <v/>
      </c>
      <c r="J7" s="4">
        <f>F7-E7</f>
        <v/>
      </c>
      <c r="K7" s="4">
        <f>G7-E7</f>
        <v/>
      </c>
    </row>
    <row r="8">
      <c r="A8" s="2" t="inlineStr">
        <is>
          <t>Internal ATG A retained</t>
        </is>
      </c>
      <c r="B8" s="3">
        <f>'WT source'!D8</f>
        <v/>
      </c>
      <c r="C8" s="3">
        <f>'upf1 source'!D8</f>
        <v/>
      </c>
      <c r="D8" s="3">
        <f>'upf3 source'!D8</f>
        <v/>
      </c>
      <c r="E8" s="4">
        <f>100*B8/'WT source'!$D$13</f>
        <v/>
      </c>
      <c r="F8" s="4">
        <f>100*C8/'upf1 source'!$D$13</f>
        <v/>
      </c>
      <c r="G8" s="4">
        <f>100*D8/'upf3 source'!$D$13</f>
        <v/>
      </c>
      <c r="H8" s="4">
        <f>F8/E8</f>
        <v/>
      </c>
      <c r="I8" s="4">
        <f>G8/E8</f>
        <v/>
      </c>
      <c r="J8" s="4">
        <f>F8-E8</f>
        <v/>
      </c>
      <c r="K8" s="4">
        <f>G8-E8</f>
        <v/>
      </c>
    </row>
    <row r="9">
      <c r="A9" s="2" t="inlineStr">
        <is>
          <t>Internal ATG B retained</t>
        </is>
      </c>
      <c r="B9" s="3">
        <f>'WT source'!D9</f>
        <v/>
      </c>
      <c r="C9" s="3">
        <f>'upf1 source'!D9</f>
        <v/>
      </c>
      <c r="D9" s="3">
        <f>'upf3 source'!D9</f>
        <v/>
      </c>
      <c r="E9" s="4">
        <f>100*B9/'WT source'!$D$13</f>
        <v/>
      </c>
      <c r="F9" s="4">
        <f>100*C9/'upf1 source'!$D$13</f>
        <v/>
      </c>
      <c r="G9" s="4">
        <f>100*D9/'upf3 source'!$D$13</f>
        <v/>
      </c>
      <c r="H9" s="4">
        <f>F9/E9</f>
        <v/>
      </c>
      <c r="I9" s="4">
        <f>G9/E9</f>
        <v/>
      </c>
      <c r="J9" s="4">
        <f>F9-E9</f>
        <v/>
      </c>
      <c r="K9" s="4">
        <f>G9-E9</f>
        <v/>
      </c>
    </row>
    <row r="10">
      <c r="A10" s="2" t="inlineStr">
        <is>
          <t>No intact annotated start observed</t>
        </is>
      </c>
      <c r="B10" s="3">
        <f>'WT source'!D10</f>
        <v/>
      </c>
      <c r="C10" s="3">
        <f>'upf1 source'!D10</f>
        <v/>
      </c>
      <c r="D10" s="3">
        <f>'upf3 source'!D10</f>
        <v/>
      </c>
      <c r="E10" s="4">
        <f>100*B10/'WT source'!$D$13</f>
        <v/>
      </c>
      <c r="F10" s="4">
        <f>100*C10/'upf1 source'!$D$13</f>
        <v/>
      </c>
      <c r="G10" s="4">
        <f>100*D10/'upf3 source'!$D$13</f>
        <v/>
      </c>
      <c r="H10" s="4">
        <f>F10/E10</f>
        <v/>
      </c>
      <c r="I10" s="4">
        <f>G10/E10</f>
        <v/>
      </c>
      <c r="J10" s="4">
        <f>F10-E10</f>
        <v/>
      </c>
      <c r="K10" s="4">
        <f>G10-E10</f>
        <v/>
      </c>
    </row>
    <row r="11">
      <c r="A11" s="2" t="inlineStr">
        <is>
          <t>Uncertain / altered or incompletely covered start</t>
        </is>
      </c>
      <c r="B11" s="3">
        <f>'WT source'!D11</f>
        <v/>
      </c>
      <c r="C11" s="3">
        <f>'upf1 source'!D11</f>
        <v/>
      </c>
      <c r="D11" s="3">
        <f>'upf3 source'!D11</f>
        <v/>
      </c>
      <c r="E11" s="4">
        <f>100*B11/'WT source'!$D$13</f>
        <v/>
      </c>
      <c r="F11" s="4">
        <f>100*C11/'upf1 source'!$D$13</f>
        <v/>
      </c>
      <c r="G11" s="4">
        <f>100*D11/'upf3 source'!$D$13</f>
        <v/>
      </c>
      <c r="H11" s="4">
        <f>F11/E11</f>
        <v/>
      </c>
      <c r="I11" s="4">
        <f>G11/E11</f>
        <v/>
      </c>
      <c r="J11" s="4">
        <f>F11-E11</f>
        <v/>
      </c>
      <c r="K11" s="4">
        <f>G11-E11</f>
        <v/>
      </c>
    </row>
    <row r="12">
      <c r="A12" s="2" t="inlineStr">
        <is>
          <t>Combined uORF1–5</t>
        </is>
      </c>
      <c r="B12" s="3">
        <f>SUM(B2:B6)</f>
        <v/>
      </c>
      <c r="C12" s="3">
        <f>SUM(C2:C6)</f>
        <v/>
      </c>
      <c r="D12" s="3">
        <f>SUM(D2:D6)</f>
        <v/>
      </c>
      <c r="E12" s="4">
        <f>100*B12/'WT source'!$D$13</f>
        <v/>
      </c>
      <c r="F12" s="4">
        <f>100*C12/'upf1 source'!$D$13</f>
        <v/>
      </c>
      <c r="G12" s="4">
        <f>100*D12/'upf3 source'!$D$13</f>
        <v/>
      </c>
      <c r="H12" s="4">
        <f>F12/E12</f>
        <v/>
      </c>
      <c r="I12" s="4">
        <f>G12/E12</f>
        <v/>
      </c>
      <c r="J12" s="4">
        <f>F12-E12</f>
        <v/>
      </c>
      <c r="K12" s="4">
        <f>G12-E12</f>
        <v/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2026-10-09T08:39:31Z</dcterms:created>
  <dcterms:modified xsi:type="dcterms:W3CDTF">2026-10-09T08:39:31Z</dcterms:modified>
</cp:coreProperties>
</file>